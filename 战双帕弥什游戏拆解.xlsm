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filterPrivacy="1" codeName="ThisWorkbook" hidePivotFieldList="1"/>
  <xr:revisionPtr revIDLastSave="0" documentId="13_ncr:1_{CBCB90B9-923F-4B69-ADCE-B86621181CD6}" xr6:coauthVersionLast="47" xr6:coauthVersionMax="47" xr10:uidLastSave="{00000000-0000-0000-0000-000000000000}"/>
  <bookViews>
    <workbookView xWindow="3795" yWindow="930" windowWidth="21630" windowHeight="14550" firstSheet="4" activeTab="7" xr2:uid="{00000000-000D-0000-FFFF-FFFF00000000}"/>
  </bookViews>
  <sheets>
    <sheet name="角色数值统计表与伤害计算器" sheetId="1" r:id="rId1"/>
    <sheet name="关卡数值-幻痛囚笼" sheetId="2" r:id="rId2"/>
    <sheet name="经济数值-版本产出" sheetId="3" r:id="rId3"/>
    <sheet name="经济数值-版本消耗" sheetId="7" r:id="rId4"/>
    <sheet name="商业化数值-抽卡概率" sheetId="4" r:id="rId5"/>
    <sheet name="图表一览" sheetId="5" r:id="rId6"/>
    <sheet name="配置" sheetId="8" r:id="rId7"/>
    <sheet name="抽卡" sheetId="9" r:id="rId8"/>
    <sheet name="统计" sheetId="10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0" i="1" l="1"/>
  <c r="B3" i="4"/>
  <c r="B4" i="4"/>
  <c r="D8" i="9"/>
  <c r="D6" i="9"/>
  <c r="B33" i="3"/>
  <c r="B32" i="3"/>
  <c r="C14" i="4"/>
  <c r="B14" i="4"/>
  <c r="B13" i="4"/>
  <c r="B5" i="4"/>
  <c r="B6" i="4"/>
  <c r="B7" i="4"/>
  <c r="B8" i="4"/>
  <c r="B9" i="4"/>
  <c r="B10" i="4"/>
  <c r="B11" i="4"/>
  <c r="B12" i="4"/>
  <c r="B15" i="4"/>
  <c r="C4" i="4"/>
  <c r="C5" i="4"/>
  <c r="C6" i="4"/>
  <c r="C7" i="4"/>
  <c r="C8" i="4"/>
  <c r="C9" i="4"/>
  <c r="C10" i="4"/>
  <c r="C11" i="4"/>
  <c r="C12" i="4"/>
  <c r="C13" i="4"/>
  <c r="C15" i="4"/>
  <c r="C16" i="4"/>
  <c r="C17" i="4"/>
  <c r="C18" i="4"/>
  <c r="C19" i="4"/>
  <c r="C20" i="4"/>
  <c r="C21" i="4"/>
  <c r="C22" i="4"/>
  <c r="C23" i="4"/>
  <c r="C3" i="4"/>
  <c r="D3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C33" i="3"/>
  <c r="C32" i="3"/>
  <c r="H4" i="7"/>
  <c r="H3" i="7"/>
  <c r="F10" i="7"/>
  <c r="L10" i="7"/>
  <c r="F5" i="7" s="1"/>
  <c r="E10" i="7"/>
  <c r="L11" i="7"/>
  <c r="G5" i="7" s="1"/>
  <c r="L9" i="7"/>
  <c r="E5" i="7" s="1"/>
  <c r="H5" i="7" s="1"/>
  <c r="J10" i="7"/>
  <c r="I10" i="7"/>
  <c r="D27" i="3"/>
  <c r="G27" i="3"/>
  <c r="I27" i="3"/>
  <c r="C24" i="3"/>
  <c r="D23" i="3"/>
  <c r="G23" i="3"/>
  <c r="K3" i="3"/>
  <c r="C3" i="3"/>
  <c r="E5" i="3"/>
  <c r="E23" i="3" s="1"/>
  <c r="E27" i="3" s="1"/>
  <c r="H7" i="3"/>
  <c r="H23" i="3" s="1"/>
  <c r="H27" i="3" s="1"/>
  <c r="I7" i="3"/>
  <c r="I23" i="3" s="1"/>
  <c r="F7" i="3"/>
  <c r="F23" i="3" s="1"/>
  <c r="F27" i="3" s="1"/>
  <c r="C6" i="3"/>
  <c r="J6" i="3"/>
  <c r="J23" i="3" s="1"/>
  <c r="J27" i="3" s="1"/>
  <c r="F5" i="2"/>
  <c r="F6" i="2"/>
  <c r="F7" i="2"/>
  <c r="E5" i="2"/>
  <c r="E6" i="2"/>
  <c r="E7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M5" i="2"/>
  <c r="M6" i="2"/>
  <c r="M7" i="2"/>
  <c r="M8" i="2"/>
  <c r="M4" i="2"/>
  <c r="M11" i="2"/>
  <c r="M12" i="2"/>
  <c r="M13" i="2"/>
  <c r="M14" i="2"/>
  <c r="M15" i="2"/>
  <c r="M16" i="2"/>
  <c r="C23" i="3" l="1"/>
  <c r="C27" i="3" s="1"/>
  <c r="H27" i="1"/>
</calcChain>
</file>

<file path=xl/sharedStrings.xml><?xml version="1.0" encoding="utf-8"?>
<sst xmlns="http://schemas.openxmlformats.org/spreadsheetml/2006/main" count="239" uniqueCount="214">
  <si>
    <t>旧日讣告</t>
    <phoneticPr fontId="1" type="noConversion"/>
  </si>
  <si>
    <t>涅缇娅·亡歌</t>
    <phoneticPr fontId="1" type="noConversion"/>
  </si>
  <si>
    <t>罗塞塔·极锋</t>
    <phoneticPr fontId="1" type="noConversion"/>
  </si>
  <si>
    <t>幻象戟·统合</t>
    <phoneticPr fontId="1" type="noConversion"/>
  </si>
  <si>
    <t>布偶熊·骇影</t>
    <phoneticPr fontId="1" type="noConversion"/>
  </si>
  <si>
    <t>霓虹穿梭机</t>
    <phoneticPr fontId="1" type="noConversion"/>
  </si>
  <si>
    <t>丽芙·霁梦</t>
    <phoneticPr fontId="1" type="noConversion"/>
  </si>
  <si>
    <t>空境悬海的涟漪</t>
    <phoneticPr fontId="1" type="noConversion"/>
  </si>
  <si>
    <t>维罗妮卡·铮骨</t>
    <phoneticPr fontId="1" type="noConversion"/>
  </si>
  <si>
    <t>怒霆敕天</t>
  </si>
  <si>
    <t>比安卡·晖暮</t>
    <phoneticPr fontId="1" type="noConversion"/>
  </si>
  <si>
    <t>奥罗拉</t>
    <phoneticPr fontId="1" type="noConversion"/>
  </si>
  <si>
    <t>薇拉·灼惘</t>
    <phoneticPr fontId="1" type="noConversion"/>
  </si>
  <si>
    <t>烬劫归墟</t>
  </si>
  <si>
    <t>奥菲厄斯的摇篮</t>
    <phoneticPr fontId="1" type="noConversion"/>
  </si>
  <si>
    <t>赛琳娜·希声</t>
    <phoneticPr fontId="1" type="noConversion"/>
  </si>
  <si>
    <t>莉莉丝·谬影</t>
  </si>
  <si>
    <t>伊什梅尔·幻日</t>
    <phoneticPr fontId="1" type="noConversion"/>
  </si>
  <si>
    <t>七实·芒星之迹</t>
  </si>
  <si>
    <t>露西亚·誓焰</t>
  </si>
  <si>
    <t>万事·明晰梦</t>
    <phoneticPr fontId="1" type="noConversion"/>
  </si>
  <si>
    <t>含英·檀心</t>
    <phoneticPr fontId="1" type="noConversion"/>
  </si>
  <si>
    <t>露娜·终焉</t>
  </si>
  <si>
    <t>曲·启明</t>
    <phoneticPr fontId="1" type="noConversion"/>
  </si>
  <si>
    <t>渡边·尘铭</t>
    <phoneticPr fontId="1" type="noConversion"/>
  </si>
  <si>
    <t>21号·森息</t>
  </si>
  <si>
    <t>伊始与终焉之权</t>
    <phoneticPr fontId="1" type="noConversion"/>
  </si>
  <si>
    <t>隧星盛耀</t>
  </si>
  <si>
    <t>拂晓炎翎</t>
    <phoneticPr fontId="1" type="noConversion"/>
  </si>
  <si>
    <t>明瞳续昼</t>
    <phoneticPr fontId="1" type="noConversion"/>
  </si>
  <si>
    <t>鹏游蝶梦</t>
  </si>
  <si>
    <t>律条重塑</t>
    <phoneticPr fontId="1" type="noConversion"/>
  </si>
  <si>
    <t>铭钥阙影</t>
  </si>
  <si>
    <t>暗夜猎隼</t>
    <phoneticPr fontId="1" type="noConversion"/>
  </si>
  <si>
    <t>玛纳加尔姆</t>
    <phoneticPr fontId="1" type="noConversion"/>
  </si>
  <si>
    <t>繁宵蜃景之哀</t>
    <phoneticPr fontId="1" type="noConversion"/>
  </si>
  <si>
    <t>无</t>
    <phoneticPr fontId="1" type="noConversion"/>
  </si>
  <si>
    <t>1000/2000</t>
    <phoneticPr fontId="1" type="noConversion"/>
  </si>
  <si>
    <t>角色名称</t>
    <phoneticPr fontId="1" type="noConversion"/>
  </si>
  <si>
    <t>生命值</t>
    <phoneticPr fontId="1" type="noConversion"/>
  </si>
  <si>
    <t>基础攻击力</t>
    <phoneticPr fontId="1" type="noConversion"/>
  </si>
  <si>
    <t>基础防御力</t>
    <phoneticPr fontId="1" type="noConversion"/>
  </si>
  <si>
    <t>会心</t>
    <phoneticPr fontId="1" type="noConversion"/>
  </si>
  <si>
    <t>专属武器</t>
    <phoneticPr fontId="1" type="noConversion"/>
  </si>
  <si>
    <t>攻击力</t>
    <phoneticPr fontId="1" type="noConversion"/>
  </si>
  <si>
    <t>会心2</t>
    <phoneticPr fontId="1" type="noConversion"/>
  </si>
  <si>
    <t>红球倍率/%</t>
    <phoneticPr fontId="1" type="noConversion"/>
  </si>
  <si>
    <t>黄球倍率/%</t>
    <phoneticPr fontId="1" type="noConversion"/>
  </si>
  <si>
    <t>蓝球倍率/%</t>
    <phoneticPr fontId="1" type="noConversion"/>
  </si>
  <si>
    <t>核心被动倍率/%</t>
    <phoneticPr fontId="1" type="noConversion"/>
  </si>
  <si>
    <t>必杀技倍率/%</t>
    <phoneticPr fontId="1" type="noConversion"/>
  </si>
  <si>
    <t>伤害计算器</t>
    <phoneticPr fontId="1" type="noConversion"/>
  </si>
  <si>
    <t>元素伤害公式：最终伤害=基础攻击力×（1+攻击力加成）×技能倍率×（1+元素伤害加成）×（1+额外伤害加成）×（1-元素伤害抗性）×（1-额外伤害减免）</t>
    <phoneticPr fontId="1" type="noConversion"/>
  </si>
  <si>
    <t>攻击力加成/%</t>
    <phoneticPr fontId="1" type="noConversion"/>
  </si>
  <si>
    <t>技能倍率/%</t>
    <phoneticPr fontId="1" type="noConversion"/>
  </si>
  <si>
    <t>最终伤害</t>
    <phoneticPr fontId="1" type="noConversion"/>
  </si>
  <si>
    <t>元素伤害加成/%</t>
    <phoneticPr fontId="1" type="noConversion"/>
  </si>
  <si>
    <t>额外伤害加成/%</t>
    <phoneticPr fontId="1" type="noConversion"/>
  </si>
  <si>
    <t>额外伤害减免/%</t>
    <phoneticPr fontId="1" type="noConversion"/>
  </si>
  <si>
    <t>元素伤害抗性/%</t>
    <phoneticPr fontId="1" type="noConversion"/>
  </si>
  <si>
    <t>物理伤害公式：最终伤害=基础攻击力×（1+攻击力加成）×技能倍率×（1+物理伤害加成）×（1+额外伤害加成）×（1+暴击伤害加成）×（1-防御抗性）×（1-物理伤害抗性）×（1-额外伤害减免）×2（默认暴击）</t>
    <phoneticPr fontId="1" type="noConversion"/>
  </si>
  <si>
    <t>物理伤害加成/%</t>
    <phoneticPr fontId="1" type="noConversion"/>
  </si>
  <si>
    <t>暴击伤害加成/%</t>
    <phoneticPr fontId="1" type="noConversion"/>
  </si>
  <si>
    <t>防御抗性/%</t>
    <phoneticPr fontId="1" type="noConversion"/>
  </si>
  <si>
    <t xml:space="preserve">物理伤害抗性/% </t>
    <phoneticPr fontId="1" type="noConversion"/>
  </si>
  <si>
    <t>上线时间</t>
    <phoneticPr fontId="1" type="noConversion"/>
  </si>
  <si>
    <t>幻痛囚笼</t>
    <phoneticPr fontId="1" type="noConversion"/>
  </si>
  <si>
    <t>高级区</t>
    <phoneticPr fontId="1" type="noConversion"/>
  </si>
  <si>
    <t>喷涂机械</t>
    <phoneticPr fontId="1" type="noConversion"/>
  </si>
  <si>
    <t>boss血量/w</t>
    <phoneticPr fontId="1" type="noConversion"/>
  </si>
  <si>
    <t>骑士</t>
    <phoneticPr fontId="1" type="noConversion"/>
  </si>
  <si>
    <t>混沌</t>
    <phoneticPr fontId="1" type="noConversion"/>
  </si>
  <si>
    <t>地狱</t>
    <phoneticPr fontId="1" type="noConversion"/>
  </si>
  <si>
    <t>瓦沙克</t>
    <phoneticPr fontId="1" type="noConversion"/>
  </si>
  <si>
    <t>卡穆</t>
    <phoneticPr fontId="1" type="noConversion"/>
  </si>
  <si>
    <t>终极区</t>
    <phoneticPr fontId="1" type="noConversion"/>
  </si>
  <si>
    <t>斯凯奇</t>
    <phoneticPr fontId="1" type="noConversion"/>
  </si>
  <si>
    <t>茯神</t>
  </si>
  <si>
    <t>修特罗尔</t>
  </si>
  <si>
    <t>巴拉德</t>
  </si>
  <si>
    <t>鲨士碧儿</t>
  </si>
  <si>
    <t>国王</t>
  </si>
  <si>
    <t>马德拉</t>
    <phoneticPr fontId="1" type="noConversion"/>
  </si>
  <si>
    <t>柯蕾多尔</t>
    <phoneticPr fontId="1" type="noConversion"/>
  </si>
  <si>
    <t>刑之女·幻妄</t>
  </si>
  <si>
    <t>光辉行进者</t>
  </si>
  <si>
    <t>莉莉丝</t>
  </si>
  <si>
    <t>巫毒</t>
    <phoneticPr fontId="1" type="noConversion"/>
  </si>
  <si>
    <t>哈姆雷特</t>
    <phoneticPr fontId="1" type="noConversion"/>
  </si>
  <si>
    <t>拉弥亚</t>
  </si>
  <si>
    <t>格温普兰</t>
  </si>
  <si>
    <t>千子</t>
  </si>
  <si>
    <t>坠星·帕瓦特</t>
  </si>
  <si>
    <t>监管者</t>
  </si>
  <si>
    <t>埃比阿提斯</t>
  </si>
  <si>
    <t>未元投影体</t>
  </si>
  <si>
    <t>维罗妮卡</t>
  </si>
  <si>
    <t>蒙扎诺夫人</t>
  </si>
  <si>
    <t>用时/s</t>
    <phoneticPr fontId="1" type="noConversion"/>
  </si>
  <si>
    <t>用时得分占比/%</t>
    <phoneticPr fontId="1" type="noConversion"/>
  </si>
  <si>
    <t>最终得分占比/%</t>
    <phoneticPr fontId="1" type="noConversion"/>
  </si>
  <si>
    <t>混沌/骑士</t>
    <phoneticPr fontId="1" type="noConversion"/>
  </si>
  <si>
    <t>地狱/混沌</t>
    <phoneticPr fontId="1" type="noConversion"/>
  </si>
  <si>
    <t>增长倍率</t>
    <phoneticPr fontId="1" type="noConversion"/>
  </si>
  <si>
    <t>boss名称</t>
    <phoneticPr fontId="1" type="noConversion"/>
  </si>
  <si>
    <t>黑卡</t>
    <phoneticPr fontId="1" type="noConversion"/>
  </si>
  <si>
    <t>研发卷</t>
    <phoneticPr fontId="1" type="noConversion"/>
  </si>
  <si>
    <t>常驻卷</t>
    <phoneticPr fontId="1" type="noConversion"/>
  </si>
  <si>
    <t>凭据</t>
    <phoneticPr fontId="1" type="noConversion"/>
  </si>
  <si>
    <t>体力</t>
    <phoneticPr fontId="1" type="noConversion"/>
  </si>
  <si>
    <t>活动名称</t>
    <phoneticPr fontId="1" type="noConversion"/>
  </si>
  <si>
    <t>每日任务</t>
    <phoneticPr fontId="1" type="noConversion"/>
  </si>
  <si>
    <t>4.3版本“更美好的明天”资源产出表（3.17-4.20共35天5周）</t>
    <phoneticPr fontId="1" type="noConversion"/>
  </si>
  <si>
    <t>每周任务</t>
    <phoneticPr fontId="1" type="noConversion"/>
  </si>
  <si>
    <t>每日每周</t>
    <phoneticPr fontId="1" type="noConversion"/>
  </si>
  <si>
    <t>维系者行动</t>
    <phoneticPr fontId="1" type="noConversion"/>
  </si>
  <si>
    <t>头骨</t>
    <phoneticPr fontId="1" type="noConversion"/>
  </si>
  <si>
    <t>幻痛囚笼（终极区150w分）</t>
    <phoneticPr fontId="1" type="noConversion"/>
  </si>
  <si>
    <t>纷争战区（英雄小队保级）</t>
    <phoneticPr fontId="1" type="noConversion"/>
  </si>
  <si>
    <t>历战映射</t>
    <phoneticPr fontId="1" type="noConversion"/>
  </si>
  <si>
    <t>超频蓝币</t>
    <phoneticPr fontId="1" type="noConversion"/>
  </si>
  <si>
    <t>体力等效拟战币</t>
    <phoneticPr fontId="1" type="noConversion"/>
  </si>
  <si>
    <t>超频橙币</t>
    <phoneticPr fontId="1" type="noConversion"/>
  </si>
  <si>
    <t>矿区</t>
    <phoneticPr fontId="1" type="noConversion"/>
  </si>
  <si>
    <t>辅助机卷</t>
    <phoneticPr fontId="1" type="noConversion"/>
  </si>
  <si>
    <t>预热活动</t>
    <phoneticPr fontId="1" type="noConversion"/>
  </si>
  <si>
    <t>维护邮件</t>
  </si>
  <si>
    <t>七日签到</t>
  </si>
  <si>
    <t>调查问卷</t>
  </si>
  <si>
    <t>拟战场域消耗血清</t>
  </si>
  <si>
    <t>新版本剧情</t>
    <phoneticPr fontId="1" type="noConversion"/>
  </si>
  <si>
    <t>新角色试玩挑战</t>
  </si>
  <si>
    <t>boss挑战</t>
  </si>
  <si>
    <t>新S角色好感剧情</t>
  </si>
  <si>
    <t>常规活动</t>
    <phoneticPr fontId="1" type="noConversion"/>
  </si>
  <si>
    <t>版本活动</t>
    <phoneticPr fontId="1" type="noConversion"/>
  </si>
  <si>
    <t>寒境曙光</t>
    <phoneticPr fontId="1" type="noConversion"/>
  </si>
  <si>
    <t>指尖防卫战</t>
    <phoneticPr fontId="1" type="noConversion"/>
  </si>
  <si>
    <t>映射裁断</t>
    <phoneticPr fontId="1" type="noConversion"/>
  </si>
  <si>
    <t>总计</t>
    <phoneticPr fontId="1" type="noConversion"/>
  </si>
  <si>
    <t>30元月卡</t>
    <phoneticPr fontId="1" type="noConversion"/>
  </si>
  <si>
    <t>免费通行证</t>
    <phoneticPr fontId="1" type="noConversion"/>
  </si>
  <si>
    <t>30元通行证</t>
    <phoneticPr fontId="1" type="noConversion"/>
  </si>
  <si>
    <t>68元通行证</t>
    <phoneticPr fontId="1" type="noConversion"/>
  </si>
  <si>
    <t>氪金</t>
    <phoneticPr fontId="1" type="noConversion"/>
  </si>
  <si>
    <t>抽取角色</t>
    <phoneticPr fontId="1" type="noConversion"/>
  </si>
  <si>
    <t>抽取武器</t>
    <phoneticPr fontId="1" type="noConversion"/>
  </si>
  <si>
    <t>抽取辅助机</t>
    <phoneticPr fontId="1" type="noConversion"/>
  </si>
  <si>
    <t>养成角色</t>
    <phoneticPr fontId="1" type="noConversion"/>
  </si>
  <si>
    <t>养成意识</t>
    <phoneticPr fontId="1" type="noConversion"/>
  </si>
  <si>
    <t>消耗素材</t>
    <phoneticPr fontId="1" type="noConversion"/>
  </si>
  <si>
    <t>黑卡/辅助机卷</t>
    <phoneticPr fontId="1" type="noConversion"/>
  </si>
  <si>
    <t>体力等效拟战币</t>
    <phoneticPr fontId="1" type="noConversion"/>
  </si>
  <si>
    <t>黑卡、研发卷</t>
    <phoneticPr fontId="1" type="noConversion"/>
  </si>
  <si>
    <t>养成武器</t>
    <phoneticPr fontId="1" type="noConversion"/>
  </si>
  <si>
    <t>技能点</t>
    <phoneticPr fontId="1" type="noConversion"/>
  </si>
  <si>
    <t>螺母</t>
    <phoneticPr fontId="1" type="noConversion"/>
  </si>
  <si>
    <t>意识</t>
    <phoneticPr fontId="1" type="noConversion"/>
  </si>
  <si>
    <t>武器</t>
    <phoneticPr fontId="1" type="noConversion"/>
  </si>
  <si>
    <t>角色经验（大）</t>
    <phoneticPr fontId="1" type="noConversion"/>
  </si>
  <si>
    <t>意识经验</t>
    <phoneticPr fontId="1" type="noConversion"/>
  </si>
  <si>
    <t>获取意识</t>
    <phoneticPr fontId="1" type="noConversion"/>
  </si>
  <si>
    <t>超频蓝币</t>
    <phoneticPr fontId="1" type="noConversion"/>
  </si>
  <si>
    <t>超频橙币</t>
    <phoneticPr fontId="1" type="noConversion"/>
  </si>
  <si>
    <t>武器经验</t>
    <phoneticPr fontId="1" type="noConversion"/>
  </si>
  <si>
    <t>高级突破材料</t>
    <phoneticPr fontId="1" type="noConversion"/>
  </si>
  <si>
    <t>低级突破材料</t>
    <phoneticPr fontId="1" type="noConversion"/>
  </si>
  <si>
    <t>总和</t>
    <phoneticPr fontId="1" type="noConversion"/>
  </si>
  <si>
    <t>列1</t>
  </si>
  <si>
    <t>合计</t>
    <phoneticPr fontId="1" type="noConversion"/>
  </si>
  <si>
    <t>版本消耗资源统计表</t>
    <phoneticPr fontId="1" type="noConversion"/>
  </si>
  <si>
    <t>培养角色花费等效体力拟战代币统计表</t>
    <phoneticPr fontId="1" type="noConversion"/>
  </si>
  <si>
    <t>零氪玩家与氪金玩家的资源缺口</t>
    <phoneticPr fontId="1" type="noConversion"/>
  </si>
  <si>
    <t>零氪</t>
    <phoneticPr fontId="1" type="noConversion"/>
  </si>
  <si>
    <t>氪金</t>
    <phoneticPr fontId="1" type="noConversion"/>
  </si>
  <si>
    <t>抽角色与武器</t>
    <phoneticPr fontId="1" type="noConversion"/>
  </si>
  <si>
    <t>抽辅助机</t>
    <phoneticPr fontId="1" type="noConversion"/>
  </si>
  <si>
    <t>体力等效拟战币</t>
    <phoneticPr fontId="1" type="noConversion"/>
  </si>
  <si>
    <t>保底池</t>
    <phoneticPr fontId="1" type="noConversion"/>
  </si>
  <si>
    <t>高概率池</t>
    <phoneticPr fontId="1" type="noConversion"/>
  </si>
  <si>
    <t>抽数</t>
    <phoneticPr fontId="1" type="noConversion"/>
  </si>
  <si>
    <t>图表一览</t>
    <phoneticPr fontId="1" type="noConversion"/>
  </si>
  <si>
    <t>保底池基础概率</t>
    <phoneticPr fontId="1" type="noConversion"/>
  </si>
  <si>
    <t>保底池保底抽数</t>
    <phoneticPr fontId="1" type="noConversion"/>
  </si>
  <si>
    <t>命运池基础概率</t>
  </si>
  <si>
    <t>命运池保底下限</t>
  </si>
  <si>
    <t>命运池保底上限</t>
  </si>
  <si>
    <t>UP概率</t>
    <phoneticPr fontId="1" type="noConversion"/>
  </si>
  <si>
    <t>结果</t>
  </si>
  <si>
    <t>星级</t>
  </si>
  <si>
    <t>累计抽数</t>
  </si>
  <si>
    <t>距离保底</t>
  </si>
  <si>
    <t>本次结果</t>
    <phoneticPr fontId="1" type="noConversion"/>
  </si>
  <si>
    <t>选择卡池</t>
    <phoneticPr fontId="1" type="noConversion"/>
  </si>
  <si>
    <t>命运池当前保底</t>
  </si>
  <si>
    <t>六星数量</t>
    <phoneticPr fontId="1" type="noConversion"/>
  </si>
  <si>
    <t>up命中数</t>
    <phoneticPr fontId="1" type="noConversion"/>
  </si>
  <si>
    <t>歪的次数</t>
    <phoneticPr fontId="1" type="noConversion"/>
  </si>
  <si>
    <t>校准状态</t>
    <phoneticPr fontId="1" type="noConversion"/>
  </si>
  <si>
    <t>up选项</t>
    <phoneticPr fontId="1" type="noConversion"/>
  </si>
  <si>
    <t>否</t>
    <phoneticPr fontId="1" type="noConversion"/>
  </si>
  <si>
    <t>保底池规则：每次抽取概率0.5%，60抽保底</t>
    <phoneticPr fontId="1" type="noConversion"/>
  </si>
  <si>
    <t>命运池规则：每次抽取概率1.5%，
系统随机在80~100之间选择一个数作为保底数</t>
    <phoneticPr fontId="1" type="noConversion"/>
  </si>
  <si>
    <t>下一抽获取6星累计概率</t>
    <phoneticPr fontId="1" type="noConversion"/>
  </si>
  <si>
    <t>歪率</t>
    <phoneticPr fontId="1" type="noConversion"/>
  </si>
  <si>
    <t>六星获取概率</t>
    <phoneticPr fontId="1" type="noConversion"/>
  </si>
  <si>
    <t>开始研发→</t>
    <phoneticPr fontId="1" type="noConversion"/>
  </si>
  <si>
    <t>获得S角色的累计概率</t>
    <phoneticPr fontId="1" type="noConversion"/>
  </si>
  <si>
    <t>累计概率：若玩家有59抽，此时抽取保底池只有25.6%概率能获取角色，但抽取高概率池会有59.6%的概率，在后面的抽卡模拟器可以验证</t>
    <phoneticPr fontId="1" type="noConversion"/>
  </si>
  <si>
    <t>一般池子抽取当期角色概率为70%，即有30%概率歪卡，若歪卡则下一次校准为当期角色</t>
    <phoneticPr fontId="1" type="noConversion"/>
  </si>
  <si>
    <t>是否保底</t>
    <phoneticPr fontId="1" type="noConversion"/>
  </si>
  <si>
    <t>序号</t>
    <phoneticPr fontId="1" type="noConversion"/>
  </si>
  <si>
    <t>是否歪</t>
  </si>
  <si>
    <t>用时与分数实测数据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</si>
</sst>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sz val="11"/>
      <color rgb="FF0F1115"/>
      <name val="Segoe UI"/>
      <family val="2"/>
    </font>
    <font>
      <sz val="11"/>
      <color rgb="FF0F1115"/>
      <name val="微软雅黑"/>
      <family val="2"/>
      <charset val="134"/>
    </font>
    <font>
      <sz val="11"/>
      <color rgb="FF000000"/>
      <name val="等线"/>
      <family val="3"/>
      <charset val="134"/>
    </font>
    <font>
      <sz val="9"/>
      <color rgb="FF000000"/>
      <name val="Microsoft YaHei UI"/>
      <family val="2"/>
      <charset val="134"/>
    </font>
    <font>
      <sz val="11"/>
      <color rgb="FF0F1115"/>
      <name val="等线"/>
      <family val="3"/>
      <charset val="134"/>
      <scheme val="minor"/>
    </font>
    <font>
      <sz val="11"/>
      <color rgb="FF0F1115"/>
      <name val="宋体"/>
      <family val="2"/>
      <charset val="134"/>
    </font>
    <font>
      <b/>
      <sz val="11"/>
      <color theme="0"/>
      <name val="等线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1" xfId="0" applyBorder="1"/>
    <xf numFmtId="0" fontId="0" fillId="5" borderId="1" xfId="0" applyFill="1" applyBorder="1"/>
    <xf numFmtId="0" fontId="0" fillId="0" borderId="2" xfId="0" applyBorder="1"/>
    <xf numFmtId="0" fontId="0" fillId="4" borderId="0" xfId="0" applyFill="1"/>
    <xf numFmtId="0" fontId="0" fillId="3" borderId="0" xfId="0" applyFill="1"/>
    <xf numFmtId="0" fontId="0" fillId="5" borderId="0" xfId="0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8" xfId="0" applyFill="1" applyBorder="1"/>
    <xf numFmtId="0" fontId="0" fillId="2" borderId="2" xfId="0" applyFill="1" applyBorder="1"/>
    <xf numFmtId="0" fontId="0" fillId="3" borderId="1" xfId="0" applyFill="1" applyBorder="1"/>
    <xf numFmtId="0" fontId="0" fillId="4" borderId="1" xfId="0" applyFill="1" applyBorder="1"/>
    <xf numFmtId="0" fontId="5" fillId="0" borderId="0" xfId="0" applyFont="1"/>
    <xf numFmtId="0" fontId="6" fillId="0" borderId="0" xfId="0" applyFont="1"/>
    <xf numFmtId="0" fontId="9" fillId="0" borderId="0" xfId="0" applyFont="1"/>
    <xf numFmtId="0" fontId="0" fillId="0" borderId="4" xfId="0" applyBorder="1" applyAlignment="1">
      <alignment wrapText="1"/>
    </xf>
    <xf numFmtId="0" fontId="5" fillId="0" borderId="2" xfId="0" applyFont="1" applyBorder="1"/>
    <xf numFmtId="0" fontId="5" fillId="0" borderId="4" xfId="0" applyFont="1" applyBorder="1"/>
    <xf numFmtId="0" fontId="0" fillId="0" borderId="10" xfId="0" applyBorder="1"/>
    <xf numFmtId="0" fontId="5" fillId="0" borderId="11" xfId="0" applyFont="1" applyBorder="1"/>
    <xf numFmtId="0" fontId="0" fillId="0" borderId="11" xfId="0" applyBorder="1"/>
    <xf numFmtId="10" fontId="0" fillId="0" borderId="1" xfId="0" applyNumberFormat="1" applyBorder="1"/>
    <xf numFmtId="0" fontId="9" fillId="3" borderId="1" xfId="0" applyFont="1" applyFill="1" applyBorder="1"/>
    <xf numFmtId="0" fontId="2" fillId="3" borderId="1" xfId="0" applyFont="1" applyFill="1" applyBorder="1"/>
    <xf numFmtId="10" fontId="0" fillId="3" borderId="1" xfId="0" applyNumberFormat="1" applyFill="1" applyBorder="1"/>
    <xf numFmtId="0" fontId="0" fillId="2" borderId="0" xfId="0" applyFill="1"/>
    <xf numFmtId="0" fontId="0" fillId="7" borderId="0" xfId="0" applyFill="1"/>
    <xf numFmtId="0" fontId="0" fillId="8" borderId="0" xfId="0" applyFill="1"/>
    <xf numFmtId="10" fontId="0" fillId="2" borderId="1" xfId="0" applyNumberFormat="1" applyFill="1" applyBorder="1"/>
    <xf numFmtId="0" fontId="0" fillId="2" borderId="1" xfId="0" applyFill="1" applyBorder="1"/>
    <xf numFmtId="0" fontId="0" fillId="9" borderId="1" xfId="0" applyFill="1" applyBorder="1"/>
    <xf numFmtId="10" fontId="0" fillId="9" borderId="1" xfId="0" applyNumberFormat="1" applyFill="1" applyBorder="1"/>
    <xf numFmtId="0" fontId="0" fillId="10" borderId="1" xfId="0" applyFill="1" applyBorder="1"/>
    <xf numFmtId="10" fontId="0" fillId="10" borderId="1" xfId="0" applyNumberFormat="1" applyFill="1" applyBorder="1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6" fillId="0" borderId="1" xfId="0" applyFont="1" applyBorder="1"/>
    <xf numFmtId="0" fontId="5" fillId="0" borderId="1" xfId="0" applyFont="1" applyBorder="1"/>
    <xf numFmtId="0" fontId="10" fillId="0" borderId="1" xfId="0" applyFont="1" applyBorder="1"/>
    <xf numFmtId="0" fontId="11" fillId="11" borderId="13" xfId="0" applyFont="1" applyFill="1" applyBorder="1"/>
    <xf numFmtId="0" fontId="11" fillId="11" borderId="14" xfId="0" applyFont="1" applyFill="1" applyBorder="1" applyAlignment="1">
      <alignment horizontal="center"/>
    </xf>
    <xf numFmtId="0" fontId="2" fillId="4" borderId="3" xfId="0" applyFont="1" applyFill="1" applyBorder="1" applyAlignment="1">
      <alignment vertical="center"/>
    </xf>
    <xf numFmtId="0" fontId="2" fillId="4" borderId="15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5" borderId="15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0" fillId="5" borderId="3" xfId="0" applyFill="1" applyBorder="1"/>
    <xf numFmtId="0" fontId="2" fillId="4" borderId="3" xfId="0" applyFont="1" applyFill="1" applyBorder="1"/>
    <xf numFmtId="0" fontId="2" fillId="4" borderId="10" xfId="0" applyFont="1" applyFill="1" applyBorder="1" applyAlignment="1">
      <alignment vertical="center"/>
    </xf>
    <xf numFmtId="0" fontId="2" fillId="3" borderId="10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0" xfId="0" applyFill="1" applyAlignment="1">
      <alignment horizontal="center" wrapText="1"/>
    </xf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常规" xfId="0" builtinId="0"/>
  </cellStyles>
  <dxfs count="17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numFmt numFmtId="0" formatCode="General"/>
      <fill>
        <patternFill patternType="solid">
          <fgColor indexed="64"/>
          <bgColor theme="9" tint="0.59999389629810485"/>
        </patternFill>
      </fill>
    </dxf>
    <dxf>
      <numFmt numFmtId="0" formatCode="General"/>
      <fill>
        <patternFill patternType="solid">
          <fgColor indexed="64"/>
          <bgColor theme="9" tint="0.59999389629810485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终极区</a:t>
            </a:r>
            <a:r>
              <a:rPr lang="en-US" altLang="zh-CN"/>
              <a:t>boss</a:t>
            </a:r>
            <a:r>
              <a:rPr lang="zh-CN" altLang="en-US"/>
              <a:t>地狱难度血量上升趋势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'关卡数值-幻痛囚笼'!$D$11:$D$33</c:f>
              <c:numCache>
                <c:formatCode>General</c:formatCode>
                <c:ptCount val="23"/>
                <c:pt idx="0">
                  <c:v>3500</c:v>
                </c:pt>
                <c:pt idx="1">
                  <c:v>3400</c:v>
                </c:pt>
                <c:pt idx="2">
                  <c:v>3000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3000</c:v>
                </c:pt>
                <c:pt idx="7">
                  <c:v>2700</c:v>
                </c:pt>
                <c:pt idx="8">
                  <c:v>2220</c:v>
                </c:pt>
                <c:pt idx="9">
                  <c:v>2100</c:v>
                </c:pt>
                <c:pt idx="10">
                  <c:v>1900</c:v>
                </c:pt>
                <c:pt idx="11">
                  <c:v>1800</c:v>
                </c:pt>
                <c:pt idx="12">
                  <c:v>1700</c:v>
                </c:pt>
                <c:pt idx="13">
                  <c:v>1290</c:v>
                </c:pt>
                <c:pt idx="14">
                  <c:v>990</c:v>
                </c:pt>
                <c:pt idx="15">
                  <c:v>820</c:v>
                </c:pt>
                <c:pt idx="16">
                  <c:v>750</c:v>
                </c:pt>
                <c:pt idx="17">
                  <c:v>700</c:v>
                </c:pt>
                <c:pt idx="18">
                  <c:v>620</c:v>
                </c:pt>
                <c:pt idx="19">
                  <c:v>600</c:v>
                </c:pt>
                <c:pt idx="20">
                  <c:v>500</c:v>
                </c:pt>
                <c:pt idx="21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5-4388-A412-8C66A32A0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5915136"/>
        <c:axId val="1787905840"/>
      </c:lineChart>
      <c:catAx>
        <c:axId val="1895915136"/>
        <c:scaling>
          <c:orientation val="maxMin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87905840"/>
        <c:crosses val="autoZero"/>
        <c:auto val="1"/>
        <c:lblAlgn val="ctr"/>
        <c:lblOffset val="100"/>
        <c:noMultiLvlLbl val="0"/>
      </c:catAx>
      <c:valAx>
        <c:axId val="1787905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591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终极区用时</a:t>
            </a:r>
            <a:r>
              <a:rPr lang="en-US" altLang="zh-CN"/>
              <a:t>/s</a:t>
            </a:r>
            <a:r>
              <a:rPr lang="zh-CN" altLang="en-US"/>
              <a:t>与最终得分</a:t>
            </a:r>
            <a:r>
              <a:rPr lang="en-US" altLang="zh-CN"/>
              <a:t>/%</a:t>
            </a:r>
            <a:r>
              <a:rPr lang="zh-CN" altLang="en-US"/>
              <a:t>的关系</a:t>
            </a:r>
          </a:p>
        </c:rich>
      </c:tx>
      <c:layout>
        <c:manualLayout>
          <c:xMode val="edge"/>
          <c:yMode val="edge"/>
          <c:x val="0.14445868883423738"/>
          <c:y val="5.04230087732632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7867086505608191E-2"/>
                  <c:y val="-0.29996075059384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'关卡数值-幻痛囚笼'!$K$11:$K$16</c:f>
              <c:numCache>
                <c:formatCode>General</c:formatCode>
                <c:ptCount val="6"/>
                <c:pt idx="0">
                  <c:v>17</c:v>
                </c:pt>
                <c:pt idx="1">
                  <c:v>21</c:v>
                </c:pt>
                <c:pt idx="2">
                  <c:v>23</c:v>
                </c:pt>
                <c:pt idx="3">
                  <c:v>30</c:v>
                </c:pt>
                <c:pt idx="4">
                  <c:v>44</c:v>
                </c:pt>
                <c:pt idx="5">
                  <c:v>63</c:v>
                </c:pt>
              </c:numCache>
            </c:numRef>
          </c:xVal>
          <c:yVal>
            <c:numRef>
              <c:f>'关卡数值-幻痛囚笼'!$M$11:$M$16</c:f>
              <c:numCache>
                <c:formatCode>General</c:formatCode>
                <c:ptCount val="6"/>
                <c:pt idx="0">
                  <c:v>94.677419354838705</c:v>
                </c:pt>
                <c:pt idx="1">
                  <c:v>93.467741935483872</c:v>
                </c:pt>
                <c:pt idx="2">
                  <c:v>92.887096774193552</c:v>
                </c:pt>
                <c:pt idx="3">
                  <c:v>90.806451612903231</c:v>
                </c:pt>
                <c:pt idx="4">
                  <c:v>86.838709677419359</c:v>
                </c:pt>
                <c:pt idx="5">
                  <c:v>81.806451612903231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AF-4F39-9536-4EC08275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003760"/>
        <c:axId val="1787937040"/>
      </c:scatterChart>
      <c:valAx>
        <c:axId val="189600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87937040"/>
        <c:crosses val="autoZero"/>
        <c:crossBetween val="midCat"/>
      </c:valAx>
      <c:valAx>
        <c:axId val="178793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600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高级区用时</a:t>
            </a: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/s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与最终得分</a:t>
            </a: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/%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的关系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5358586424470669"/>
                  <c:y val="-0.220279881401276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'关卡数值-幻痛囚笼'!$K$4:$K$8</c:f>
              <c:numCache>
                <c:formatCode>General</c:formatCode>
                <c:ptCount val="5"/>
                <c:pt idx="0">
                  <c:v>12</c:v>
                </c:pt>
                <c:pt idx="1">
                  <c:v>16</c:v>
                </c:pt>
                <c:pt idx="2">
                  <c:v>23</c:v>
                </c:pt>
                <c:pt idx="3">
                  <c:v>47</c:v>
                </c:pt>
                <c:pt idx="4">
                  <c:v>62</c:v>
                </c:pt>
              </c:numCache>
            </c:numRef>
          </c:xVal>
          <c:yVal>
            <c:numRef>
              <c:f>'关卡数值-幻痛囚笼'!$M$4:$M$8</c:f>
              <c:numCache>
                <c:formatCode>General</c:formatCode>
                <c:ptCount val="5"/>
                <c:pt idx="0">
                  <c:v>98.064516129032256</c:v>
                </c:pt>
                <c:pt idx="1">
                  <c:v>97.435483870967744</c:v>
                </c:pt>
                <c:pt idx="2">
                  <c:v>96.274193548387089</c:v>
                </c:pt>
                <c:pt idx="3">
                  <c:v>92.403225806451616</c:v>
                </c:pt>
                <c:pt idx="4">
                  <c:v>89.983870967741936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4-48EE-8259-D602265B3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010720"/>
        <c:axId val="1787931760"/>
      </c:scatterChart>
      <c:valAx>
        <c:axId val="18960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87931760"/>
        <c:crosses val="autoZero"/>
        <c:crossBetween val="midCat"/>
      </c:valAx>
      <c:valAx>
        <c:axId val="17879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601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终极区</a:t>
            </a:r>
            <a:r>
              <a:rPr lang="en-US" altLang="zh-CN"/>
              <a:t>Boss</a:t>
            </a:r>
            <a:r>
              <a:rPr lang="zh-CN" altLang="en-US"/>
              <a:t>血量随难度成长的增长倍率散点图</a:t>
            </a:r>
          </a:p>
        </c:rich>
      </c:tx>
      <c:layout>
        <c:manualLayout>
          <c:xMode val="edge"/>
          <c:yMode val="edge"/>
          <c:x val="0.18870523415977961"/>
          <c:y val="4.04040546865168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'关卡数值-幻痛囚笼'!$E$11:$E$32</c:f>
              <c:numCache>
                <c:formatCode>General</c:formatCode>
                <c:ptCount val="22"/>
                <c:pt idx="0">
                  <c:v>1.5</c:v>
                </c:pt>
                <c:pt idx="1">
                  <c:v>1.6644736842105263</c:v>
                </c:pt>
                <c:pt idx="2">
                  <c:v>1.4285714285714286</c:v>
                </c:pt>
                <c:pt idx="3">
                  <c:v>1.4285714285714286</c:v>
                </c:pt>
                <c:pt idx="4">
                  <c:v>1.4285714285714286</c:v>
                </c:pt>
                <c:pt idx="5">
                  <c:v>1.4285714285714286</c:v>
                </c:pt>
                <c:pt idx="6">
                  <c:v>1.4285714285714286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1.4457831325301205</c:v>
                </c:pt>
                <c:pt idx="12">
                  <c:v>1.4945652173913044</c:v>
                </c:pt>
                <c:pt idx="13">
                  <c:v>1.5102389078498293</c:v>
                </c:pt>
                <c:pt idx="14">
                  <c:v>1.5</c:v>
                </c:pt>
                <c:pt idx="15">
                  <c:v>1.52</c:v>
                </c:pt>
                <c:pt idx="16">
                  <c:v>1.5072463768115942</c:v>
                </c:pt>
                <c:pt idx="17">
                  <c:v>1.5290322580645161</c:v>
                </c:pt>
                <c:pt idx="18">
                  <c:v>1.3421052631578947</c:v>
                </c:pt>
                <c:pt idx="19">
                  <c:v>1.4285714285714286</c:v>
                </c:pt>
                <c:pt idx="20">
                  <c:v>1.5217391304347827</c:v>
                </c:pt>
                <c:pt idx="21">
                  <c:v>1.5</c:v>
                </c:pt>
              </c:numCache>
            </c:numRef>
          </c:xVal>
          <c:yVal>
            <c:numRef>
              <c:f>'关卡数值-幻痛囚笼'!$F$11:$F$32</c:f>
              <c:numCache>
                <c:formatCode>General</c:formatCode>
                <c:ptCount val="22"/>
                <c:pt idx="0">
                  <c:v>1.4583333333333333</c:v>
                </c:pt>
                <c:pt idx="1">
                  <c:v>1.3438735177865613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1.48</c:v>
                </c:pt>
                <c:pt idx="9">
                  <c:v>1.4</c:v>
                </c:pt>
                <c:pt idx="10">
                  <c:v>1.5447154471544715</c:v>
                </c:pt>
                <c:pt idx="11">
                  <c:v>1.5</c:v>
                </c:pt>
                <c:pt idx="12">
                  <c:v>1.5454545454545454</c:v>
                </c:pt>
                <c:pt idx="13">
                  <c:v>1.4576271186440677</c:v>
                </c:pt>
                <c:pt idx="14">
                  <c:v>1.4666666666666666</c:v>
                </c:pt>
                <c:pt idx="15">
                  <c:v>1.4385964912280702</c:v>
                </c:pt>
                <c:pt idx="16">
                  <c:v>1.4423076923076923</c:v>
                </c:pt>
                <c:pt idx="17">
                  <c:v>1.4767932489451476</c:v>
                </c:pt>
                <c:pt idx="18">
                  <c:v>1.2156862745098038</c:v>
                </c:pt>
                <c:pt idx="19">
                  <c:v>1.5</c:v>
                </c:pt>
                <c:pt idx="20">
                  <c:v>1.4285714285714286</c:v>
                </c:pt>
                <c:pt idx="21">
                  <c:v>1.1666666666666667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AD-4A4D-A418-F81641E62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854816"/>
        <c:axId val="1787872240"/>
      </c:scatterChart>
      <c:valAx>
        <c:axId val="1895854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87872240"/>
        <c:crosses val="autoZero"/>
        <c:crossBetween val="midCat"/>
      </c:valAx>
      <c:valAx>
        <c:axId val="178787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5854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零氪玩家与氪金玩家的资源缺口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2920346941000541"/>
          <c:y val="0.2220231159670305"/>
          <c:w val="0.81820420489833723"/>
          <c:h val="0.71529879323363765"/>
        </c:manualLayout>
      </c:layout>
      <c:barChart>
        <c:barDir val="col"/>
        <c:grouping val="clustered"/>
        <c:varyColors val="0"/>
        <c:ser>
          <c:idx val="0"/>
          <c:order val="0"/>
          <c:tx>
            <c:v>零氪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'经济数值-版本产出'!$B$31:$D$31</c:f>
              <c:strCache>
                <c:ptCount val="3"/>
                <c:pt idx="0">
                  <c:v>抽角色与武器</c:v>
                </c:pt>
                <c:pt idx="1">
                  <c:v>抽辅助机</c:v>
                </c:pt>
                <c:pt idx="2">
                  <c:v>体力等效拟战币</c:v>
                </c:pt>
              </c:strCache>
            </c:strRef>
          </c:cat>
          <c:val>
            <c:numRef>
              <c:f>'经济数值-版本产出'!$B$32:$D$32</c:f>
              <c:numCache>
                <c:formatCode>General</c:formatCode>
                <c:ptCount val="3"/>
                <c:pt idx="0">
                  <c:v>-11225</c:v>
                </c:pt>
                <c:pt idx="1">
                  <c:v>-4125</c:v>
                </c:pt>
                <c:pt idx="2">
                  <c:v>1298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8-4105-80CA-C938A542951B}"/>
            </c:ext>
          </c:extLst>
        </c:ser>
        <c:ser>
          <c:idx val="1"/>
          <c:order val="1"/>
          <c:tx>
            <c:v>氪金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'经济数值-版本产出'!$B$31:$D$31</c:f>
              <c:strCache>
                <c:ptCount val="3"/>
                <c:pt idx="0">
                  <c:v>抽角色与武器</c:v>
                </c:pt>
                <c:pt idx="1">
                  <c:v>抽辅助机</c:v>
                </c:pt>
                <c:pt idx="2">
                  <c:v>体力等效拟战币</c:v>
                </c:pt>
              </c:strCache>
            </c:strRef>
          </c:cat>
          <c:val>
            <c:numRef>
              <c:f>'经济数值-版本产出'!$B$33:$D$33</c:f>
              <c:numCache>
                <c:formatCode>General</c:formatCode>
                <c:ptCount val="3"/>
                <c:pt idx="0">
                  <c:v>-4875</c:v>
                </c:pt>
                <c:pt idx="1">
                  <c:v>-1625</c:v>
                </c:pt>
                <c:pt idx="2">
                  <c:v>1298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D8-4105-80CA-C938A54295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8919951"/>
        <c:axId val="348897551"/>
      </c:barChart>
      <c:catAx>
        <c:axId val="1368919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8897551"/>
        <c:crosses val="autoZero"/>
        <c:auto val="1"/>
        <c:lblAlgn val="ctr"/>
        <c:lblOffset val="100"/>
        <c:noMultiLvlLbl val="0"/>
      </c:catAx>
      <c:valAx>
        <c:axId val="34889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919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4744136425656"/>
          <c:y val="1.6281049097538698E-2"/>
          <c:w val="0.10836152789202899"/>
          <c:h val="0.19230912457506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获取累计概率与抽数关系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18039370078740158"/>
          <c:w val="0.86211351706036743"/>
          <c:h val="0.71220691163604555"/>
        </c:manualLayout>
      </c:layout>
      <c:scatterChart>
        <c:scatterStyle val="lineMarker"/>
        <c:varyColors val="0"/>
        <c:ser>
          <c:idx val="0"/>
          <c:order val="0"/>
          <c:tx>
            <c:v>保底池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'商业化数值-抽卡概率'!$A$3:$A$23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59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'商业化数值-抽卡概率'!$B$3:$B$23</c:f>
              <c:numCache>
                <c:formatCode>0.00%</c:formatCode>
                <c:ptCount val="21"/>
                <c:pt idx="0">
                  <c:v>2.4751246878124911E-2</c:v>
                </c:pt>
                <c:pt idx="1">
                  <c:v>4.8889869534228025E-2</c:v>
                </c:pt>
                <c:pt idx="2">
                  <c:v>7.2431031181671934E-2</c:v>
                </c:pt>
                <c:pt idx="3">
                  <c:v>9.5389519725382232E-2</c:v>
                </c:pt>
                <c:pt idx="4">
                  <c:v>0.11777975705119847</c:v>
                </c:pt>
                <c:pt idx="5">
                  <c:v>0.13961580808530361</c:v>
                </c:pt>
                <c:pt idx="6">
                  <c:v>0.16091138962942031</c:v>
                </c:pt>
                <c:pt idx="7">
                  <c:v>0.1816798789773254</c:v>
                </c:pt>
                <c:pt idx="8">
                  <c:v>0.20193432231809461</c:v>
                </c:pt>
                <c:pt idx="9">
                  <c:v>0.22168744293135767</c:v>
                </c:pt>
                <c:pt idx="10">
                  <c:v>0.24095164917970835</c:v>
                </c:pt>
                <c:pt idx="11">
                  <c:v>0.25601913799326137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83-4E72-B835-BD7403F9E6B5}"/>
            </c:ext>
          </c:extLst>
        </c:ser>
        <c:ser>
          <c:idx val="1"/>
          <c:order val="1"/>
          <c:tx>
            <c:v>高概率池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'商业化数值-抽卡概率'!$A$3:$A$23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59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'商业化数值-抽卡概率'!$C$3:$C$23</c:f>
              <c:numCache>
                <c:formatCode>0.00%</c:formatCode>
                <c:ptCount val="21"/>
                <c:pt idx="0">
                  <c:v>7.2783497634374972E-2</c:v>
                </c:pt>
                <c:pt idx="1">
                  <c:v>0.14026955774085692</c:v>
                </c:pt>
                <c:pt idx="2">
                  <c:v>0.20284374635122548</c:v>
                </c:pt>
                <c:pt idx="3">
                  <c:v>0.26086356665289823</c:v>
                </c:pt>
                <c:pt idx="4">
                  <c:v>0.31466050150089742</c:v>
                </c:pt>
                <c:pt idx="5">
                  <c:v>0.36454190726865054</c:v>
                </c:pt>
                <c:pt idx="6">
                  <c:v>0.41079276985770719</c:v>
                </c:pt>
                <c:pt idx="7">
                  <c:v>0.45367733289892542</c:v>
                </c:pt>
                <c:pt idx="8">
                  <c:v>0.49344060744748186</c:v>
                </c:pt>
                <c:pt idx="9">
                  <c:v>0.53030977179699856</c:v>
                </c:pt>
                <c:pt idx="10">
                  <c:v>0.56449546941030082</c:v>
                </c:pt>
                <c:pt idx="11">
                  <c:v>0.59004366739313263</c:v>
                </c:pt>
                <c:pt idx="12">
                  <c:v>0.59619301238223577</c:v>
                </c:pt>
                <c:pt idx="13">
                  <c:v>0.62558349731025742</c:v>
                </c:pt>
                <c:pt idx="14">
                  <c:v>0.65283483994804725</c:v>
                </c:pt>
                <c:pt idx="15">
                  <c:v>0.67810273455342585</c:v>
                </c:pt>
                <c:pt idx="16">
                  <c:v>0.71574432705863655</c:v>
                </c:pt>
                <c:pt idx="17">
                  <c:v>0.8023250868682914</c:v>
                </c:pt>
                <c:pt idx="18">
                  <c:v>0.87780837229372566</c:v>
                </c:pt>
                <c:pt idx="19">
                  <c:v>0.94335095316991291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83-4E72-B835-BD7403F9E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8749247"/>
        <c:axId val="348933551"/>
      </c:scatterChart>
      <c:valAx>
        <c:axId val="1398749247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8933551"/>
        <c:crosses val="autoZero"/>
        <c:crossBetween val="midCat"/>
      </c:valAx>
      <c:valAx>
        <c:axId val="34893355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8749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22222222222224"/>
          <c:y val="1.4386118401866434E-2"/>
          <c:w val="0.18333333333333332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终极区</a:t>
            </a:r>
            <a:r>
              <a:rPr lang="en-US" altLang="zh-CN"/>
              <a:t>boss</a:t>
            </a:r>
            <a:r>
              <a:rPr lang="zh-CN" altLang="en-US"/>
              <a:t>地狱难度血量上升趋势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'关卡数值-幻痛囚笼'!$D$11:$D$33</c:f>
              <c:numCache>
                <c:formatCode>General</c:formatCode>
                <c:ptCount val="23"/>
                <c:pt idx="0">
                  <c:v>3500</c:v>
                </c:pt>
                <c:pt idx="1">
                  <c:v>3400</c:v>
                </c:pt>
                <c:pt idx="2">
                  <c:v>3000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3000</c:v>
                </c:pt>
                <c:pt idx="7">
                  <c:v>2700</c:v>
                </c:pt>
                <c:pt idx="8">
                  <c:v>2220</c:v>
                </c:pt>
                <c:pt idx="9">
                  <c:v>2100</c:v>
                </c:pt>
                <c:pt idx="10">
                  <c:v>1900</c:v>
                </c:pt>
                <c:pt idx="11">
                  <c:v>1800</c:v>
                </c:pt>
                <c:pt idx="12">
                  <c:v>1700</c:v>
                </c:pt>
                <c:pt idx="13">
                  <c:v>1290</c:v>
                </c:pt>
                <c:pt idx="14">
                  <c:v>990</c:v>
                </c:pt>
                <c:pt idx="15">
                  <c:v>820</c:v>
                </c:pt>
                <c:pt idx="16">
                  <c:v>750</c:v>
                </c:pt>
                <c:pt idx="17">
                  <c:v>700</c:v>
                </c:pt>
                <c:pt idx="18">
                  <c:v>620</c:v>
                </c:pt>
                <c:pt idx="19">
                  <c:v>600</c:v>
                </c:pt>
                <c:pt idx="20">
                  <c:v>500</c:v>
                </c:pt>
                <c:pt idx="21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F-4C54-BEF2-1CB10C6CF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5915136"/>
        <c:axId val="1787905840"/>
      </c:lineChart>
      <c:catAx>
        <c:axId val="1895915136"/>
        <c:scaling>
          <c:orientation val="maxMin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87905840"/>
        <c:crosses val="autoZero"/>
        <c:auto val="1"/>
        <c:lblAlgn val="ctr"/>
        <c:lblOffset val="100"/>
        <c:noMultiLvlLbl val="0"/>
      </c:catAx>
      <c:valAx>
        <c:axId val="1787905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591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终极区</a:t>
            </a:r>
            <a:r>
              <a:rPr lang="en-US" altLang="zh-CN"/>
              <a:t>Boss</a:t>
            </a:r>
            <a:r>
              <a:rPr lang="zh-CN" altLang="en-US"/>
              <a:t>血量随难度成长的增长倍率散点图</a:t>
            </a:r>
          </a:p>
        </c:rich>
      </c:tx>
      <c:layout>
        <c:manualLayout>
          <c:xMode val="edge"/>
          <c:yMode val="edge"/>
          <c:x val="0.18870523415977961"/>
          <c:y val="4.04040546865168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'关卡数值-幻痛囚笼'!$E$11:$E$32</c:f>
              <c:numCache>
                <c:formatCode>General</c:formatCode>
                <c:ptCount val="22"/>
                <c:pt idx="0">
                  <c:v>1.5</c:v>
                </c:pt>
                <c:pt idx="1">
                  <c:v>1.6644736842105263</c:v>
                </c:pt>
                <c:pt idx="2">
                  <c:v>1.4285714285714286</c:v>
                </c:pt>
                <c:pt idx="3">
                  <c:v>1.4285714285714286</c:v>
                </c:pt>
                <c:pt idx="4">
                  <c:v>1.4285714285714286</c:v>
                </c:pt>
                <c:pt idx="5">
                  <c:v>1.4285714285714286</c:v>
                </c:pt>
                <c:pt idx="6">
                  <c:v>1.4285714285714286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1.4457831325301205</c:v>
                </c:pt>
                <c:pt idx="12">
                  <c:v>1.4945652173913044</c:v>
                </c:pt>
                <c:pt idx="13">
                  <c:v>1.5102389078498293</c:v>
                </c:pt>
                <c:pt idx="14">
                  <c:v>1.5</c:v>
                </c:pt>
                <c:pt idx="15">
                  <c:v>1.52</c:v>
                </c:pt>
                <c:pt idx="16">
                  <c:v>1.5072463768115942</c:v>
                </c:pt>
                <c:pt idx="17">
                  <c:v>1.5290322580645161</c:v>
                </c:pt>
                <c:pt idx="18">
                  <c:v>1.3421052631578947</c:v>
                </c:pt>
                <c:pt idx="19">
                  <c:v>1.4285714285714286</c:v>
                </c:pt>
                <c:pt idx="20">
                  <c:v>1.5217391304347827</c:v>
                </c:pt>
                <c:pt idx="21">
                  <c:v>1.5</c:v>
                </c:pt>
              </c:numCache>
            </c:numRef>
          </c:xVal>
          <c:yVal>
            <c:numRef>
              <c:f>'关卡数值-幻痛囚笼'!$F$11:$F$32</c:f>
              <c:numCache>
                <c:formatCode>General</c:formatCode>
                <c:ptCount val="22"/>
                <c:pt idx="0">
                  <c:v>1.4583333333333333</c:v>
                </c:pt>
                <c:pt idx="1">
                  <c:v>1.3438735177865613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1.48</c:v>
                </c:pt>
                <c:pt idx="9">
                  <c:v>1.4</c:v>
                </c:pt>
                <c:pt idx="10">
                  <c:v>1.5447154471544715</c:v>
                </c:pt>
                <c:pt idx="11">
                  <c:v>1.5</c:v>
                </c:pt>
                <c:pt idx="12">
                  <c:v>1.5454545454545454</c:v>
                </c:pt>
                <c:pt idx="13">
                  <c:v>1.4576271186440677</c:v>
                </c:pt>
                <c:pt idx="14">
                  <c:v>1.4666666666666666</c:v>
                </c:pt>
                <c:pt idx="15">
                  <c:v>1.4385964912280702</c:v>
                </c:pt>
                <c:pt idx="16">
                  <c:v>1.4423076923076923</c:v>
                </c:pt>
                <c:pt idx="17">
                  <c:v>1.4767932489451476</c:v>
                </c:pt>
                <c:pt idx="18">
                  <c:v>1.2156862745098038</c:v>
                </c:pt>
                <c:pt idx="19">
                  <c:v>1.5</c:v>
                </c:pt>
                <c:pt idx="20">
                  <c:v>1.4285714285714286</c:v>
                </c:pt>
                <c:pt idx="21">
                  <c:v>1.1666666666666667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FC-498D-9EC3-88C42E3B7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854816"/>
        <c:axId val="1787872240"/>
      </c:scatterChart>
      <c:valAx>
        <c:axId val="1895854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87872240"/>
        <c:crosses val="autoZero"/>
        <c:crossBetween val="midCat"/>
      </c:valAx>
      <c:valAx>
        <c:axId val="178787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5854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高级区用时</a:t>
            </a: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/s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与最终得分</a:t>
            </a: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/%</a:t>
            </a:r>
            <a:r>
              <a:rPr lang="zh-CN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的关系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5358586424470669"/>
                  <c:y val="-0.220279881401276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'关卡数值-幻痛囚笼'!$K$4:$K$8</c:f>
              <c:numCache>
                <c:formatCode>General</c:formatCode>
                <c:ptCount val="5"/>
                <c:pt idx="0">
                  <c:v>12</c:v>
                </c:pt>
                <c:pt idx="1">
                  <c:v>16</c:v>
                </c:pt>
                <c:pt idx="2">
                  <c:v>23</c:v>
                </c:pt>
                <c:pt idx="3">
                  <c:v>47</c:v>
                </c:pt>
                <c:pt idx="4">
                  <c:v>62</c:v>
                </c:pt>
              </c:numCache>
            </c:numRef>
          </c:xVal>
          <c:yVal>
            <c:numRef>
              <c:f>'关卡数值-幻痛囚笼'!$M$4:$M$8</c:f>
              <c:numCache>
                <c:formatCode>General</c:formatCode>
                <c:ptCount val="5"/>
                <c:pt idx="0">
                  <c:v>98.064516129032256</c:v>
                </c:pt>
                <c:pt idx="1">
                  <c:v>97.435483870967744</c:v>
                </c:pt>
                <c:pt idx="2">
                  <c:v>96.274193548387089</c:v>
                </c:pt>
                <c:pt idx="3">
                  <c:v>92.403225806451616</c:v>
                </c:pt>
                <c:pt idx="4">
                  <c:v>89.983870967741936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2B-41B7-971D-C205D0479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010720"/>
        <c:axId val="1787931760"/>
      </c:scatterChart>
      <c:valAx>
        <c:axId val="18960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87931760"/>
        <c:crosses val="autoZero"/>
        <c:crossBetween val="midCat"/>
      </c:valAx>
      <c:valAx>
        <c:axId val="17879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601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终极区用时</a:t>
            </a:r>
            <a:r>
              <a:rPr lang="en-US" altLang="zh-CN"/>
              <a:t>/s</a:t>
            </a:r>
            <a:r>
              <a:rPr lang="zh-CN" altLang="en-US"/>
              <a:t>与最终得分</a:t>
            </a:r>
            <a:r>
              <a:rPr lang="en-US" altLang="zh-CN"/>
              <a:t>/%</a:t>
            </a:r>
            <a:r>
              <a:rPr lang="zh-CN" altLang="en-US"/>
              <a:t>的关系</a:t>
            </a:r>
          </a:p>
        </c:rich>
      </c:tx>
      <c:layout>
        <c:manualLayout>
          <c:xMode val="edge"/>
          <c:yMode val="edge"/>
          <c:x val="0.14445868883423738"/>
          <c:y val="5.04230087732632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7867086505608191E-2"/>
                  <c:y val="-0.29996075059384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'关卡数值-幻痛囚笼'!$K$11:$K$16</c:f>
              <c:numCache>
                <c:formatCode>General</c:formatCode>
                <c:ptCount val="6"/>
                <c:pt idx="0">
                  <c:v>17</c:v>
                </c:pt>
                <c:pt idx="1">
                  <c:v>21</c:v>
                </c:pt>
                <c:pt idx="2">
                  <c:v>23</c:v>
                </c:pt>
                <c:pt idx="3">
                  <c:v>30</c:v>
                </c:pt>
                <c:pt idx="4">
                  <c:v>44</c:v>
                </c:pt>
                <c:pt idx="5">
                  <c:v>63</c:v>
                </c:pt>
              </c:numCache>
            </c:numRef>
          </c:xVal>
          <c:yVal>
            <c:numRef>
              <c:f>'关卡数值-幻痛囚笼'!$M$11:$M$16</c:f>
              <c:numCache>
                <c:formatCode>General</c:formatCode>
                <c:ptCount val="6"/>
                <c:pt idx="0">
                  <c:v>94.677419354838705</c:v>
                </c:pt>
                <c:pt idx="1">
                  <c:v>93.467741935483872</c:v>
                </c:pt>
                <c:pt idx="2">
                  <c:v>92.887096774193552</c:v>
                </c:pt>
                <c:pt idx="3">
                  <c:v>90.806451612903231</c:v>
                </c:pt>
                <c:pt idx="4">
                  <c:v>86.838709677419359</c:v>
                </c:pt>
                <c:pt idx="5">
                  <c:v>81.806451612903231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11-4009-BA6F-12C672CBE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003760"/>
        <c:axId val="1787937040"/>
      </c:scatterChart>
      <c:valAx>
        <c:axId val="189600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87937040"/>
        <c:crosses val="autoZero"/>
        <c:crossBetween val="midCat"/>
      </c:valAx>
      <c:valAx>
        <c:axId val="178793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600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零氪玩家与氪金玩家的资源缺口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2920346941000541"/>
          <c:y val="0.2220231159670305"/>
          <c:w val="0.81820420489833723"/>
          <c:h val="0.71529879323363765"/>
        </c:manualLayout>
      </c:layout>
      <c:barChart>
        <c:barDir val="col"/>
        <c:grouping val="clustered"/>
        <c:varyColors val="0"/>
        <c:ser>
          <c:idx val="0"/>
          <c:order val="0"/>
          <c:tx>
            <c:v>零氪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'经济数值-版本产出'!$B$31:$D$31</c:f>
              <c:strCache>
                <c:ptCount val="3"/>
                <c:pt idx="0">
                  <c:v>抽角色与武器</c:v>
                </c:pt>
                <c:pt idx="1">
                  <c:v>抽辅助机</c:v>
                </c:pt>
                <c:pt idx="2">
                  <c:v>体力等效拟战币</c:v>
                </c:pt>
              </c:strCache>
            </c:strRef>
          </c:cat>
          <c:val>
            <c:numRef>
              <c:f>'经济数值-版本产出'!$B$32:$D$32</c:f>
              <c:numCache>
                <c:formatCode>General</c:formatCode>
                <c:ptCount val="3"/>
                <c:pt idx="0">
                  <c:v>-11225</c:v>
                </c:pt>
                <c:pt idx="1">
                  <c:v>-4125</c:v>
                </c:pt>
                <c:pt idx="2">
                  <c:v>1298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3-4963-A009-4DCB536D26B7}"/>
            </c:ext>
          </c:extLst>
        </c:ser>
        <c:ser>
          <c:idx val="1"/>
          <c:order val="1"/>
          <c:tx>
            <c:v>氪金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'经济数值-版本产出'!$B$31:$D$31</c:f>
              <c:strCache>
                <c:ptCount val="3"/>
                <c:pt idx="0">
                  <c:v>抽角色与武器</c:v>
                </c:pt>
                <c:pt idx="1">
                  <c:v>抽辅助机</c:v>
                </c:pt>
                <c:pt idx="2">
                  <c:v>体力等效拟战币</c:v>
                </c:pt>
              </c:strCache>
            </c:strRef>
          </c:cat>
          <c:val>
            <c:numRef>
              <c:f>'经济数值-版本产出'!$B$33:$D$33</c:f>
              <c:numCache>
                <c:formatCode>General</c:formatCode>
                <c:ptCount val="3"/>
                <c:pt idx="0">
                  <c:v>-4875</c:v>
                </c:pt>
                <c:pt idx="1">
                  <c:v>-1625</c:v>
                </c:pt>
                <c:pt idx="2">
                  <c:v>1298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D3-4963-A009-4DCB536D2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8919951"/>
        <c:axId val="348897551"/>
      </c:barChart>
      <c:catAx>
        <c:axId val="1368919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8897551"/>
        <c:crosses val="autoZero"/>
        <c:auto val="1"/>
        <c:lblAlgn val="ctr"/>
        <c:lblOffset val="100"/>
        <c:noMultiLvlLbl val="0"/>
      </c:catAx>
      <c:valAx>
        <c:axId val="34889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8919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4744136425656"/>
          <c:y val="1.6281049097538698E-2"/>
          <c:w val="0.10836152789202899"/>
          <c:h val="0.19230912457506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获取概率与抽数关系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18039370078740158"/>
          <c:w val="0.86211351706036743"/>
          <c:h val="0.71220691163604555"/>
        </c:manualLayout>
      </c:layout>
      <c:scatterChart>
        <c:scatterStyle val="lineMarker"/>
        <c:varyColors val="0"/>
        <c:ser>
          <c:idx val="0"/>
          <c:order val="0"/>
          <c:tx>
            <c:v>保底池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'商业化数值-抽卡概率'!$A$3:$A$23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59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'商业化数值-抽卡概率'!$B$3:$B$23</c:f>
              <c:numCache>
                <c:formatCode>0.00%</c:formatCode>
                <c:ptCount val="21"/>
                <c:pt idx="0">
                  <c:v>2.4751246878124911E-2</c:v>
                </c:pt>
                <c:pt idx="1">
                  <c:v>4.8889869534228025E-2</c:v>
                </c:pt>
                <c:pt idx="2">
                  <c:v>7.2431031181671934E-2</c:v>
                </c:pt>
                <c:pt idx="3">
                  <c:v>9.5389519725382232E-2</c:v>
                </c:pt>
                <c:pt idx="4">
                  <c:v>0.11777975705119847</c:v>
                </c:pt>
                <c:pt idx="5">
                  <c:v>0.13961580808530361</c:v>
                </c:pt>
                <c:pt idx="6">
                  <c:v>0.16091138962942031</c:v>
                </c:pt>
                <c:pt idx="7">
                  <c:v>0.1816798789773254</c:v>
                </c:pt>
                <c:pt idx="8">
                  <c:v>0.20193432231809461</c:v>
                </c:pt>
                <c:pt idx="9">
                  <c:v>0.22168744293135767</c:v>
                </c:pt>
                <c:pt idx="10">
                  <c:v>0.24095164917970835</c:v>
                </c:pt>
                <c:pt idx="11">
                  <c:v>0.25601913799326137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E6-40B3-80C6-2DFDC09B077D}"/>
            </c:ext>
          </c:extLst>
        </c:ser>
        <c:ser>
          <c:idx val="1"/>
          <c:order val="1"/>
          <c:tx>
            <c:v>高概率池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'商业化数值-抽卡概率'!$A$3:$A$23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59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'商业化数值-抽卡概率'!$C$3:$C$23</c:f>
              <c:numCache>
                <c:formatCode>0.00%</c:formatCode>
                <c:ptCount val="21"/>
                <c:pt idx="0">
                  <c:v>7.2783497634374972E-2</c:v>
                </c:pt>
                <c:pt idx="1">
                  <c:v>0.14026955774085692</c:v>
                </c:pt>
                <c:pt idx="2">
                  <c:v>0.20284374635122548</c:v>
                </c:pt>
                <c:pt idx="3">
                  <c:v>0.26086356665289823</c:v>
                </c:pt>
                <c:pt idx="4">
                  <c:v>0.31466050150089742</c:v>
                </c:pt>
                <c:pt idx="5">
                  <c:v>0.36454190726865054</c:v>
                </c:pt>
                <c:pt idx="6">
                  <c:v>0.41079276985770719</c:v>
                </c:pt>
                <c:pt idx="7">
                  <c:v>0.45367733289892542</c:v>
                </c:pt>
                <c:pt idx="8">
                  <c:v>0.49344060744748186</c:v>
                </c:pt>
                <c:pt idx="9">
                  <c:v>0.53030977179699856</c:v>
                </c:pt>
                <c:pt idx="10">
                  <c:v>0.56449546941030082</c:v>
                </c:pt>
                <c:pt idx="11">
                  <c:v>0.59004366739313263</c:v>
                </c:pt>
                <c:pt idx="12">
                  <c:v>0.59619301238223577</c:v>
                </c:pt>
                <c:pt idx="13">
                  <c:v>0.62558349731025742</c:v>
                </c:pt>
                <c:pt idx="14">
                  <c:v>0.65283483994804725</c:v>
                </c:pt>
                <c:pt idx="15">
                  <c:v>0.67810273455342585</c:v>
                </c:pt>
                <c:pt idx="16">
                  <c:v>0.71574432705863655</c:v>
                </c:pt>
                <c:pt idx="17">
                  <c:v>0.8023250868682914</c:v>
                </c:pt>
                <c:pt idx="18">
                  <c:v>0.87780837229372566</c:v>
                </c:pt>
                <c:pt idx="19">
                  <c:v>0.94335095316991291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E6-40B3-80C6-2DFDC09B0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8749247"/>
        <c:axId val="348933551"/>
      </c:scatterChart>
      <c:valAx>
        <c:axId val="1398749247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8933551"/>
        <c:crosses val="autoZero"/>
        <c:crossBetween val="midCat"/>
      </c:valAx>
      <c:valAx>
        <c:axId val="34893355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8749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22222222222224"/>
          <c:y val="1.4386118401866434E-2"/>
          <c:w val="0.18333333333333332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firstButton="1" fmlaLink="$B$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CheckBox" checked="Checked" fmlaLink="$B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94516</xdr:colOff>
      <xdr:row>33</xdr:row>
      <xdr:rowOff>26376</xdr:rowOff>
    </xdr:from>
    <xdr:to>
      <xdr:col>5</xdr:col>
      <xdr:colOff>340701</xdr:colOff>
      <xdr:row>47</xdr:row>
      <xdr:rowOff>16851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E12F3F6-5804-21DF-C71D-A956F3B9F9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62495</xdr:colOff>
      <xdr:row>9</xdr:row>
      <xdr:rowOff>253</xdr:rowOff>
    </xdr:from>
    <xdr:to>
      <xdr:col>18</xdr:col>
      <xdr:colOff>105103</xdr:colOff>
      <xdr:row>18</xdr:row>
      <xdr:rowOff>107957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5BD15373-2B20-3122-B812-FD24AB7C48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58136</xdr:colOff>
      <xdr:row>0</xdr:row>
      <xdr:rowOff>0</xdr:rowOff>
    </xdr:from>
    <xdr:to>
      <xdr:col>18</xdr:col>
      <xdr:colOff>19707</xdr:colOff>
      <xdr:row>8</xdr:row>
      <xdr:rowOff>47624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FB7A9283-B100-9C1F-AC4D-2EB8AFB96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207251</xdr:colOff>
      <xdr:row>19</xdr:row>
      <xdr:rowOff>6241</xdr:rowOff>
    </xdr:from>
    <xdr:to>
      <xdr:col>12</xdr:col>
      <xdr:colOff>245351</xdr:colOff>
      <xdr:row>34</xdr:row>
      <xdr:rowOff>123496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880CE73D-3E5A-4615-BE53-AE97658C1E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37272</xdr:colOff>
      <xdr:row>28</xdr:row>
      <xdr:rowOff>33129</xdr:rowOff>
    </xdr:from>
    <xdr:to>
      <xdr:col>11</xdr:col>
      <xdr:colOff>397566</xdr:colOff>
      <xdr:row>40</xdr:row>
      <xdr:rowOff>75369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6FCA3EE7-ABA2-6FB7-4E6B-D39B9A5F4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15340</xdr:colOff>
      <xdr:row>0</xdr:row>
      <xdr:rowOff>31047</xdr:rowOff>
    </xdr:from>
    <xdr:to>
      <xdr:col>10</xdr:col>
      <xdr:colOff>483805</xdr:colOff>
      <xdr:row>15</xdr:row>
      <xdr:rowOff>95341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373CDAA2-45ED-BC3B-013A-9B45F56164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3</xdr:row>
      <xdr:rowOff>38100</xdr:rowOff>
    </xdr:from>
    <xdr:to>
      <xdr:col>5</xdr:col>
      <xdr:colOff>352426</xdr:colOff>
      <xdr:row>16</xdr:row>
      <xdr:rowOff>38099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76B86C-070F-41D7-88CA-733B58F384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200025</xdr:colOff>
      <xdr:row>16</xdr:row>
      <xdr:rowOff>152400</xdr:rowOff>
    </xdr:from>
    <xdr:to>
      <xdr:col>5</xdr:col>
      <xdr:colOff>85725</xdr:colOff>
      <xdr:row>27</xdr:row>
      <xdr:rowOff>63467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84DDA2B-4DFD-492E-869F-419D551DC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85725</xdr:colOff>
      <xdr:row>28</xdr:row>
      <xdr:rowOff>0</xdr:rowOff>
    </xdr:from>
    <xdr:to>
      <xdr:col>10</xdr:col>
      <xdr:colOff>133350</xdr:colOff>
      <xdr:row>37</xdr:row>
      <xdr:rowOff>76200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E6E57E64-B8E5-4094-9B52-198B9671B3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5</xdr:col>
      <xdr:colOff>31402</xdr:colOff>
      <xdr:row>37</xdr:row>
      <xdr:rowOff>92576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83EA38D5-F48D-4A52-BFE5-41B044A05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38</xdr:row>
      <xdr:rowOff>152400</xdr:rowOff>
    </xdr:from>
    <xdr:to>
      <xdr:col>7</xdr:col>
      <xdr:colOff>476250</xdr:colOff>
      <xdr:row>53</xdr:row>
      <xdr:rowOff>95250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3311379F-6DA3-4CE8-8AE3-F610D66759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57150</xdr:colOff>
      <xdr:row>54</xdr:row>
      <xdr:rowOff>171450</xdr:rowOff>
    </xdr:from>
    <xdr:to>
      <xdr:col>6</xdr:col>
      <xdr:colOff>543200</xdr:colOff>
      <xdr:row>70</xdr:row>
      <xdr:rowOff>87740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F0B4FDA9-993B-42EB-B126-0A458B8D0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10</xdr:row>
          <xdr:rowOff>9525</xdr:rowOff>
        </xdr:from>
        <xdr:to>
          <xdr:col>3</xdr:col>
          <xdr:colOff>676275</xdr:colOff>
          <xdr:row>11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单抽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10</xdr:row>
          <xdr:rowOff>9525</xdr:rowOff>
        </xdr:from>
        <xdr:to>
          <xdr:col>5</xdr:col>
          <xdr:colOff>28575</xdr:colOff>
          <xdr:row>10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十连抽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10</xdr:row>
          <xdr:rowOff>19050</xdr:rowOff>
        </xdr:from>
        <xdr:to>
          <xdr:col>7</xdr:col>
          <xdr:colOff>19050</xdr:colOff>
          <xdr:row>11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9525</xdr:rowOff>
        </xdr:from>
        <xdr:to>
          <xdr:col>2</xdr:col>
          <xdr:colOff>590550</xdr:colOff>
          <xdr:row>1</xdr:row>
          <xdr:rowOff>38100</xdr:rowOff>
        </xdr:to>
        <xdr:sp macro="" textlink=""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保底池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9525</xdr:rowOff>
        </xdr:from>
        <xdr:to>
          <xdr:col>3</xdr:col>
          <xdr:colOff>533400</xdr:colOff>
          <xdr:row>1</xdr:row>
          <xdr:rowOff>9525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命运池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9525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up概率100%（不歪）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2DC571-3167-478A-AF67-71976B699D48}" name="表4" displayName="表4" ref="A10:F33" totalsRowShown="0">
  <autoFilter ref="A10:F33" xr:uid="{F82DC571-3167-478A-AF67-71976B699D48}"/>
  <sortState xmlns:xlrd2="http://schemas.microsoft.com/office/spreadsheetml/2017/richdata2" ref="A11:D33">
    <sortCondition descending="1" ref="D10:D33"/>
  </sortState>
  <tableColumns count="6">
    <tableColumn id="1" xr3:uid="{CE9C6ECF-88CD-4CC0-BA07-7A371C808CA9}" name="boss名称"/>
    <tableColumn id="2" xr3:uid="{2A663697-1CC7-4D47-B852-5165BED8D0A5}" name="骑士"/>
    <tableColumn id="3" xr3:uid="{B1836F6F-E755-4535-B96A-D033D631DD3C}" name="混沌"/>
    <tableColumn id="4" xr3:uid="{8C7B7797-2362-4CE2-A8C1-9A2E9D5429CF}" name="地狱"/>
    <tableColumn id="5" xr3:uid="{7A923AA3-BAC0-4B21-B703-B95CD3CE3589}" name="混沌/骑士" dataDxfId="16">
      <calculatedColumnFormula>表4[[#This Row],[混沌]]/表4[[#This Row],[骑士]]</calculatedColumnFormula>
    </tableColumn>
    <tableColumn id="6" xr3:uid="{35465520-7BE6-4744-BDDA-9D02E2FF16E6}" name="地狱/混沌" dataDxfId="15">
      <calculatedColumnFormula>表4[[#This Row],[地狱]]/表4[[#This Row],[混沌]]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B6D4FE-FF0A-4B22-A219-B082F95C9F59}" name="表5" displayName="表5" ref="A4:F7" totalsRowShown="0">
  <autoFilter ref="A4:F7" xr:uid="{0CB6D4FE-FF0A-4B22-A219-B082F95C9F59}"/>
  <tableColumns count="6">
    <tableColumn id="1" xr3:uid="{39AEB883-510F-47F9-91D5-2742D71131C7}" name="boss名称"/>
    <tableColumn id="2" xr3:uid="{6E808E54-A76A-4535-945A-C69C0EF5C353}" name="骑士"/>
    <tableColumn id="3" xr3:uid="{0002D849-CE65-4E73-AE99-9E0182E0409B}" name="混沌"/>
    <tableColumn id="4" xr3:uid="{8A581241-6028-4D2D-8737-4FC9BCDA5CEF}" name="地狱"/>
    <tableColumn id="5" xr3:uid="{2E77DCF7-B718-4F9C-89E9-AB50A3945A61}" name="混沌/骑士" dataDxfId="14">
      <calculatedColumnFormula>表5[[#This Row],[混沌]]/表5[[#This Row],[骑士]]</calculatedColumnFormula>
    </tableColumn>
    <tableColumn id="6" xr3:uid="{054EB9AC-FE94-4476-98A5-67B33D3BD500}" name="地狱/混沌" dataDxfId="13">
      <calculatedColumnFormula>表5[[#This Row],[地狱]]/表5[[#This Row],[混沌]]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4DC422-BC69-4E73-91A2-0D91C83D94D8}" name="表2" displayName="表2" ref="A2:L22" totalsRowShown="0" tableBorderDxfId="12">
  <autoFilter ref="A2:L22" xr:uid="{4F4DC422-BC69-4E73-91A2-0D91C83D94D8}"/>
  <tableColumns count="12">
    <tableColumn id="1" xr3:uid="{AD306BEE-1180-4709-8B53-6D6CECF8C683}" name="列1" dataDxfId="11"/>
    <tableColumn id="2" xr3:uid="{C6EF63C3-A8AB-49E3-A3A0-EF2A501D0CA6}" name="活动名称" dataDxfId="10"/>
    <tableColumn id="3" xr3:uid="{FFD170E9-1D8B-4C12-8667-8DEA33DE9328}" name="黑卡" dataDxfId="9"/>
    <tableColumn id="4" xr3:uid="{E18A66DC-2685-42D2-8858-DA939732C6D6}" name="研发卷" dataDxfId="8"/>
    <tableColumn id="5" xr3:uid="{CEB96162-A583-43FB-9672-2456E46C8F98}" name="常驻卷" dataDxfId="7"/>
    <tableColumn id="6" xr3:uid="{0F67AA8B-2838-4402-8637-D5C52B48D265}" name="凭据" dataDxfId="6"/>
    <tableColumn id="7" xr3:uid="{C2DBC9B1-2C13-46C9-99BE-B13A260D49A6}" name="辅助机卷" dataDxfId="5"/>
    <tableColumn id="8" xr3:uid="{235EA7FC-4861-461B-B75A-62A96C58B78D}" name="超频蓝币" dataDxfId="4"/>
    <tableColumn id="9" xr3:uid="{33FF794A-ADEC-4E98-B96D-CDE37EB1F2CF}" name="超频橙币" dataDxfId="3"/>
    <tableColumn id="10" xr3:uid="{4D95C749-EAD2-477A-9250-1D1EECE399AD}" name="头骨" dataDxfId="2"/>
    <tableColumn id="11" xr3:uid="{AC969524-8697-4E79-8EFF-E637E6A6264B}" name="体力" dataDxfId="1"/>
    <tableColumn id="12" xr3:uid="{5A4C3027-66C9-4BED-84B0-0F98EF037232}" name="体力等效拟战币" dataDxfId="0">
      <calculatedColumnFormula>K3/30*86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30"/>
  <sheetViews>
    <sheetView zoomScaleNormal="100" workbookViewId="0">
      <selection activeCell="O20" sqref="O20"/>
    </sheetView>
  </sheetViews>
  <sheetFormatPr defaultRowHeight="14.25" x14ac:dyDescent="0.2"/>
  <cols>
    <col min="1" max="1" width="14.375" bestFit="1" customWidth="1"/>
    <col min="2" max="2" width="12.875" bestFit="1" customWidth="1"/>
    <col min="3" max="3" width="13" bestFit="1" customWidth="1"/>
    <col min="4" max="5" width="15" bestFit="1" customWidth="1"/>
    <col min="6" max="6" width="15.125" bestFit="1" customWidth="1"/>
    <col min="7" max="7" width="15" bestFit="1" customWidth="1"/>
    <col min="8" max="8" width="15.5" bestFit="1" customWidth="1"/>
    <col min="9" max="9" width="15" bestFit="1" customWidth="1"/>
    <col min="10" max="10" width="12.875" bestFit="1" customWidth="1"/>
    <col min="11" max="11" width="11.5" bestFit="1" customWidth="1"/>
    <col min="12" max="12" width="15.875" bestFit="1" customWidth="1"/>
    <col min="13" max="13" width="14.875" bestFit="1" customWidth="1"/>
    <col min="14" max="16" width="15" bestFit="1" customWidth="1"/>
  </cols>
  <sheetData>
    <row r="2" spans="1:14" x14ac:dyDescent="0.2">
      <c r="A2" s="45" t="s">
        <v>38</v>
      </c>
      <c r="B2" s="46" t="s">
        <v>65</v>
      </c>
      <c r="C2" s="46" t="s">
        <v>39</v>
      </c>
      <c r="D2" s="46" t="s">
        <v>40</v>
      </c>
      <c r="E2" s="46" t="s">
        <v>41</v>
      </c>
      <c r="F2" s="46" t="s">
        <v>42</v>
      </c>
      <c r="G2" s="46" t="s">
        <v>43</v>
      </c>
      <c r="H2" s="46" t="s">
        <v>44</v>
      </c>
      <c r="I2" s="46" t="s">
        <v>45</v>
      </c>
      <c r="J2" s="46" t="s">
        <v>46</v>
      </c>
      <c r="K2" s="46" t="s">
        <v>47</v>
      </c>
      <c r="L2" s="46" t="s">
        <v>48</v>
      </c>
      <c r="M2" s="46" t="s">
        <v>49</v>
      </c>
      <c r="N2" s="46" t="s">
        <v>50</v>
      </c>
    </row>
    <row r="3" spans="1:14" x14ac:dyDescent="0.2">
      <c r="A3" s="47" t="s">
        <v>1</v>
      </c>
      <c r="B3" s="48">
        <v>2026.03</v>
      </c>
      <c r="C3" s="48">
        <v>2050</v>
      </c>
      <c r="D3" s="48">
        <v>394</v>
      </c>
      <c r="E3" s="48">
        <v>301</v>
      </c>
      <c r="F3" s="48">
        <v>182</v>
      </c>
      <c r="G3" s="49" t="s">
        <v>0</v>
      </c>
      <c r="H3" s="49">
        <v>436</v>
      </c>
      <c r="I3" s="49">
        <v>249</v>
      </c>
      <c r="J3" s="50">
        <v>450</v>
      </c>
      <c r="K3" s="50">
        <v>6000</v>
      </c>
      <c r="L3" s="50">
        <v>210</v>
      </c>
      <c r="M3" s="50">
        <v>360</v>
      </c>
      <c r="N3" s="50">
        <v>11000</v>
      </c>
    </row>
    <row r="4" spans="1:14" x14ac:dyDescent="0.2">
      <c r="A4" s="47" t="s">
        <v>2</v>
      </c>
      <c r="B4" s="47">
        <v>2026.02</v>
      </c>
      <c r="C4" s="47">
        <v>1915</v>
      </c>
      <c r="D4" s="47">
        <v>425</v>
      </c>
      <c r="E4" s="47">
        <v>301</v>
      </c>
      <c r="F4" s="47">
        <v>182</v>
      </c>
      <c r="G4" s="51" t="s">
        <v>3</v>
      </c>
      <c r="H4" s="51">
        <v>436</v>
      </c>
      <c r="I4" s="51">
        <v>249</v>
      </c>
      <c r="J4" s="52" t="s">
        <v>37</v>
      </c>
      <c r="K4" s="52" t="s">
        <v>37</v>
      </c>
      <c r="L4" s="52" t="s">
        <v>37</v>
      </c>
      <c r="M4" s="52">
        <v>10000</v>
      </c>
      <c r="N4" s="52">
        <v>16000</v>
      </c>
    </row>
    <row r="5" spans="1:14" x14ac:dyDescent="0.2">
      <c r="A5" s="47" t="s">
        <v>4</v>
      </c>
      <c r="B5" s="47">
        <v>2025.12</v>
      </c>
      <c r="C5" s="47">
        <v>2050</v>
      </c>
      <c r="D5" s="47">
        <v>434</v>
      </c>
      <c r="E5" s="47">
        <v>301</v>
      </c>
      <c r="F5" s="47">
        <v>202</v>
      </c>
      <c r="G5" s="51" t="s">
        <v>5</v>
      </c>
      <c r="H5" s="51">
        <v>436</v>
      </c>
      <c r="I5" s="51">
        <v>249</v>
      </c>
      <c r="J5" s="52">
        <v>3600</v>
      </c>
      <c r="K5" s="52">
        <v>2700</v>
      </c>
      <c r="L5" s="52">
        <v>2500</v>
      </c>
      <c r="M5" s="52">
        <v>1200</v>
      </c>
      <c r="N5" s="52">
        <v>3500</v>
      </c>
    </row>
    <row r="6" spans="1:14" x14ac:dyDescent="0.2">
      <c r="A6" s="47" t="s">
        <v>6</v>
      </c>
      <c r="B6" s="47">
        <v>2025.11</v>
      </c>
      <c r="C6" s="47">
        <v>1954</v>
      </c>
      <c r="D6" s="47">
        <v>491</v>
      </c>
      <c r="E6" s="47">
        <v>295</v>
      </c>
      <c r="F6" s="47">
        <v>196</v>
      </c>
      <c r="G6" s="51" t="s">
        <v>7</v>
      </c>
      <c r="H6" s="51">
        <v>436</v>
      </c>
      <c r="I6" s="51">
        <v>249</v>
      </c>
      <c r="J6" s="52">
        <v>480</v>
      </c>
      <c r="K6" s="52">
        <v>480</v>
      </c>
      <c r="L6" s="52">
        <v>480</v>
      </c>
      <c r="M6" s="52">
        <v>8800</v>
      </c>
      <c r="N6" s="52">
        <v>3300</v>
      </c>
    </row>
    <row r="7" spans="1:14" x14ac:dyDescent="0.2">
      <c r="A7" s="47" t="s">
        <v>8</v>
      </c>
      <c r="B7" s="47">
        <v>2025.09</v>
      </c>
      <c r="C7" s="47">
        <v>2030</v>
      </c>
      <c r="D7" s="47">
        <v>413</v>
      </c>
      <c r="E7" s="47">
        <v>307</v>
      </c>
      <c r="F7" s="47">
        <v>171</v>
      </c>
      <c r="G7" s="51" t="s">
        <v>9</v>
      </c>
      <c r="H7" s="51">
        <v>436</v>
      </c>
      <c r="I7" s="51">
        <v>249</v>
      </c>
      <c r="J7" s="52">
        <v>2400</v>
      </c>
      <c r="K7" s="52">
        <v>6300</v>
      </c>
      <c r="L7" s="52">
        <v>360</v>
      </c>
      <c r="M7" s="52">
        <v>160</v>
      </c>
      <c r="N7" s="52">
        <v>1800</v>
      </c>
    </row>
    <row r="8" spans="1:14" x14ac:dyDescent="0.2">
      <c r="A8" s="47" t="s">
        <v>10</v>
      </c>
      <c r="B8" s="47">
        <v>2025.07</v>
      </c>
      <c r="C8" s="47">
        <v>1935</v>
      </c>
      <c r="D8" s="47">
        <v>429</v>
      </c>
      <c r="E8" s="47">
        <v>293</v>
      </c>
      <c r="F8" s="47">
        <v>182</v>
      </c>
      <c r="G8" s="51" t="s">
        <v>11</v>
      </c>
      <c r="H8" s="51">
        <v>436</v>
      </c>
      <c r="I8" s="51">
        <v>249</v>
      </c>
      <c r="J8" s="52">
        <v>750</v>
      </c>
      <c r="K8" s="52" t="s">
        <v>36</v>
      </c>
      <c r="L8" s="52">
        <v>3600</v>
      </c>
      <c r="M8" s="52">
        <v>600</v>
      </c>
      <c r="N8" s="52">
        <v>3500</v>
      </c>
    </row>
    <row r="9" spans="1:14" x14ac:dyDescent="0.2">
      <c r="A9" s="47" t="s">
        <v>12</v>
      </c>
      <c r="B9" s="47">
        <v>2025.04</v>
      </c>
      <c r="C9" s="47">
        <v>2069</v>
      </c>
      <c r="D9" s="47">
        <v>402</v>
      </c>
      <c r="E9" s="47">
        <v>307</v>
      </c>
      <c r="F9" s="47">
        <v>171</v>
      </c>
      <c r="G9" s="51" t="s">
        <v>13</v>
      </c>
      <c r="H9" s="51">
        <v>436</v>
      </c>
      <c r="I9" s="51">
        <v>249</v>
      </c>
      <c r="J9" s="52">
        <v>600</v>
      </c>
      <c r="K9" s="52" t="s">
        <v>36</v>
      </c>
      <c r="L9" s="52">
        <v>900</v>
      </c>
      <c r="M9" s="52">
        <v>5800</v>
      </c>
      <c r="N9" s="52">
        <v>5800</v>
      </c>
    </row>
    <row r="10" spans="1:14" x14ac:dyDescent="0.2">
      <c r="A10" s="47" t="s">
        <v>15</v>
      </c>
      <c r="B10" s="47">
        <v>2025.01</v>
      </c>
      <c r="C10" s="47">
        <v>1507</v>
      </c>
      <c r="D10" s="47">
        <v>287</v>
      </c>
      <c r="E10" s="47">
        <v>182</v>
      </c>
      <c r="F10" s="47">
        <v>459</v>
      </c>
      <c r="G10" s="51" t="s">
        <v>14</v>
      </c>
      <c r="H10" s="51">
        <v>436</v>
      </c>
      <c r="I10" s="51">
        <v>249</v>
      </c>
      <c r="J10" s="52">
        <v>460</v>
      </c>
      <c r="K10" s="52">
        <v>420</v>
      </c>
      <c r="L10" s="52">
        <v>640</v>
      </c>
      <c r="M10" s="52">
        <v>4000</v>
      </c>
      <c r="N10" s="52">
        <v>3500</v>
      </c>
    </row>
    <row r="11" spans="1:14" x14ac:dyDescent="0.2">
      <c r="A11" s="47" t="s">
        <v>16</v>
      </c>
      <c r="B11" s="47">
        <v>2024.12</v>
      </c>
      <c r="C11" s="47">
        <v>2011</v>
      </c>
      <c r="D11" s="47">
        <v>453</v>
      </c>
      <c r="E11" s="47">
        <v>307</v>
      </c>
      <c r="F11" s="47">
        <v>191</v>
      </c>
      <c r="G11" s="51" t="s">
        <v>35</v>
      </c>
      <c r="H11" s="51">
        <v>436</v>
      </c>
      <c r="I11" s="51">
        <v>249</v>
      </c>
      <c r="J11" s="52">
        <v>4800</v>
      </c>
      <c r="K11" s="52">
        <v>1800</v>
      </c>
      <c r="L11" s="52">
        <v>840</v>
      </c>
      <c r="M11" s="52" t="s">
        <v>36</v>
      </c>
      <c r="N11" s="52">
        <v>1350</v>
      </c>
    </row>
    <row r="12" spans="1:14" x14ac:dyDescent="0.2">
      <c r="A12" s="53" t="s">
        <v>17</v>
      </c>
      <c r="B12" s="47">
        <v>2024.11</v>
      </c>
      <c r="C12" s="47">
        <v>2107</v>
      </c>
      <c r="D12" s="47">
        <v>452</v>
      </c>
      <c r="E12" s="47">
        <v>301</v>
      </c>
      <c r="F12" s="47">
        <v>196</v>
      </c>
      <c r="G12" s="51" t="s">
        <v>26</v>
      </c>
      <c r="H12" s="51">
        <v>436</v>
      </c>
      <c r="I12" s="51">
        <v>249</v>
      </c>
      <c r="J12" s="52">
        <v>450</v>
      </c>
      <c r="K12" s="52">
        <v>270</v>
      </c>
      <c r="L12" s="52">
        <v>210</v>
      </c>
      <c r="M12" s="52">
        <v>3600</v>
      </c>
      <c r="N12" s="52">
        <v>4300</v>
      </c>
    </row>
    <row r="13" spans="1:14" x14ac:dyDescent="0.2">
      <c r="A13" s="47" t="s">
        <v>18</v>
      </c>
      <c r="B13" s="47">
        <v>2024.09</v>
      </c>
      <c r="C13" s="47">
        <v>2011</v>
      </c>
      <c r="D13" s="47">
        <v>402</v>
      </c>
      <c r="E13" s="47">
        <v>316</v>
      </c>
      <c r="F13" s="47">
        <v>171</v>
      </c>
      <c r="G13" s="51" t="s">
        <v>27</v>
      </c>
      <c r="H13" s="51">
        <v>436</v>
      </c>
      <c r="I13" s="51">
        <v>249</v>
      </c>
      <c r="J13" s="52">
        <v>660</v>
      </c>
      <c r="K13" s="52">
        <v>4000</v>
      </c>
      <c r="L13" s="52">
        <v>100</v>
      </c>
      <c r="M13" s="52">
        <v>3800</v>
      </c>
      <c r="N13" s="52">
        <v>4000</v>
      </c>
    </row>
    <row r="14" spans="1:14" x14ac:dyDescent="0.2">
      <c r="A14" s="47" t="s">
        <v>19</v>
      </c>
      <c r="B14" s="47">
        <v>2024.07</v>
      </c>
      <c r="C14" s="47">
        <v>2015</v>
      </c>
      <c r="D14" s="47">
        <v>519</v>
      </c>
      <c r="E14" s="47">
        <v>292</v>
      </c>
      <c r="F14" s="47">
        <v>196</v>
      </c>
      <c r="G14" s="51" t="s">
        <v>28</v>
      </c>
      <c r="H14" s="51">
        <v>436</v>
      </c>
      <c r="I14" s="51">
        <v>249</v>
      </c>
      <c r="J14" s="52">
        <v>1260</v>
      </c>
      <c r="K14" s="52">
        <v>540</v>
      </c>
      <c r="L14" s="52">
        <v>180</v>
      </c>
      <c r="M14" s="52">
        <v>400</v>
      </c>
      <c r="N14" s="52">
        <v>2000</v>
      </c>
    </row>
    <row r="15" spans="1:14" x14ac:dyDescent="0.2">
      <c r="A15" s="47" t="s">
        <v>20</v>
      </c>
      <c r="B15" s="47">
        <v>2024.06</v>
      </c>
      <c r="C15" s="47">
        <v>2050</v>
      </c>
      <c r="D15" s="47">
        <v>402</v>
      </c>
      <c r="E15" s="47">
        <v>310</v>
      </c>
      <c r="F15" s="47">
        <v>171</v>
      </c>
      <c r="G15" s="51" t="s">
        <v>29</v>
      </c>
      <c r="H15" s="51">
        <v>436</v>
      </c>
      <c r="I15" s="51">
        <v>249</v>
      </c>
      <c r="J15" s="52">
        <v>800</v>
      </c>
      <c r="K15" s="52">
        <v>360</v>
      </c>
      <c r="L15" s="52">
        <v>600</v>
      </c>
      <c r="M15" s="52">
        <v>500</v>
      </c>
      <c r="N15" s="52">
        <v>2400</v>
      </c>
    </row>
    <row r="16" spans="1:14" x14ac:dyDescent="0.2">
      <c r="A16" s="47" t="s">
        <v>21</v>
      </c>
      <c r="B16" s="47">
        <v>2024.04</v>
      </c>
      <c r="C16" s="47">
        <v>2069</v>
      </c>
      <c r="D16" s="47">
        <v>391</v>
      </c>
      <c r="E16" s="47">
        <v>316</v>
      </c>
      <c r="F16" s="47">
        <v>171</v>
      </c>
      <c r="G16" s="51" t="s">
        <v>30</v>
      </c>
      <c r="H16" s="51">
        <v>436</v>
      </c>
      <c r="I16" s="51">
        <v>249</v>
      </c>
      <c r="J16" s="52">
        <v>150</v>
      </c>
      <c r="K16" s="52">
        <v>180</v>
      </c>
      <c r="L16" s="52">
        <v>360</v>
      </c>
      <c r="M16" s="52">
        <v>1000</v>
      </c>
      <c r="N16" s="52">
        <v>2500</v>
      </c>
    </row>
    <row r="17" spans="1:14" x14ac:dyDescent="0.2">
      <c r="A17" s="47" t="s">
        <v>22</v>
      </c>
      <c r="B17" s="47">
        <v>2024.01</v>
      </c>
      <c r="C17" s="47">
        <v>1915</v>
      </c>
      <c r="D17" s="47">
        <v>441</v>
      </c>
      <c r="E17" s="47">
        <v>287</v>
      </c>
      <c r="F17" s="47">
        <v>182</v>
      </c>
      <c r="G17" s="51" t="s">
        <v>31</v>
      </c>
      <c r="H17" s="51">
        <v>436</v>
      </c>
      <c r="I17" s="51">
        <v>249</v>
      </c>
      <c r="J17" s="52">
        <v>480</v>
      </c>
      <c r="K17" s="52">
        <v>420</v>
      </c>
      <c r="L17" s="52">
        <v>570</v>
      </c>
      <c r="M17" s="52">
        <v>3800</v>
      </c>
      <c r="N17" s="52">
        <v>3200</v>
      </c>
    </row>
    <row r="18" spans="1:14" x14ac:dyDescent="0.2">
      <c r="A18" s="47" t="s">
        <v>23</v>
      </c>
      <c r="B18" s="47">
        <v>2023.11</v>
      </c>
      <c r="C18" s="47">
        <v>1935</v>
      </c>
      <c r="D18" s="47">
        <v>429</v>
      </c>
      <c r="E18" s="47">
        <v>293</v>
      </c>
      <c r="F18" s="47">
        <v>182</v>
      </c>
      <c r="G18" s="51" t="s">
        <v>32</v>
      </c>
      <c r="H18" s="51">
        <v>436</v>
      </c>
      <c r="I18" s="51">
        <v>249</v>
      </c>
      <c r="J18" s="52">
        <v>540</v>
      </c>
      <c r="K18" s="52">
        <v>450</v>
      </c>
      <c r="L18" s="52">
        <v>540</v>
      </c>
      <c r="M18" s="52">
        <v>2000</v>
      </c>
      <c r="N18" s="52">
        <v>2580</v>
      </c>
    </row>
    <row r="19" spans="1:14" x14ac:dyDescent="0.2">
      <c r="A19" s="47" t="s">
        <v>24</v>
      </c>
      <c r="B19" s="47">
        <v>2023.09</v>
      </c>
      <c r="C19" s="47">
        <v>2011</v>
      </c>
      <c r="D19" s="47">
        <v>449</v>
      </c>
      <c r="E19" s="47">
        <v>310</v>
      </c>
      <c r="F19" s="47">
        <v>191</v>
      </c>
      <c r="G19" s="51" t="s">
        <v>33</v>
      </c>
      <c r="H19" s="51">
        <v>436</v>
      </c>
      <c r="I19" s="51">
        <v>249</v>
      </c>
      <c r="J19" s="52">
        <v>720</v>
      </c>
      <c r="K19" s="52">
        <v>690</v>
      </c>
      <c r="L19" s="52">
        <v>660</v>
      </c>
      <c r="M19" s="52">
        <v>1350</v>
      </c>
      <c r="N19" s="52">
        <v>1800</v>
      </c>
    </row>
    <row r="20" spans="1:14" x14ac:dyDescent="0.2">
      <c r="A20" s="54" t="s">
        <v>25</v>
      </c>
      <c r="B20" s="54">
        <v>2023.03</v>
      </c>
      <c r="C20" s="54">
        <v>3364</v>
      </c>
      <c r="D20" s="54">
        <v>699</v>
      </c>
      <c r="E20" s="54">
        <v>500</v>
      </c>
      <c r="F20" s="54">
        <v>568</v>
      </c>
      <c r="G20" s="55" t="s">
        <v>34</v>
      </c>
      <c r="H20" s="55">
        <v>458</v>
      </c>
      <c r="I20" s="55">
        <v>249</v>
      </c>
      <c r="J20" s="56">
        <v>720</v>
      </c>
      <c r="K20" s="56">
        <v>680</v>
      </c>
      <c r="L20" s="56">
        <v>640</v>
      </c>
      <c r="M20" s="56">
        <v>1760</v>
      </c>
      <c r="N20" s="56">
        <v>3000</v>
      </c>
    </row>
    <row r="24" spans="1:14" x14ac:dyDescent="0.2">
      <c r="A24" s="59" t="s">
        <v>51</v>
      </c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</row>
    <row r="25" spans="1:14" x14ac:dyDescent="0.2">
      <c r="A25" s="4" t="s">
        <v>52</v>
      </c>
      <c r="B25" s="4"/>
      <c r="C25" s="4"/>
      <c r="D25" s="4"/>
      <c r="E25" s="4"/>
      <c r="F25" s="4"/>
      <c r="G25" s="4"/>
      <c r="H25" s="4"/>
      <c r="I25" s="4"/>
    </row>
    <row r="26" spans="1:14" x14ac:dyDescent="0.2">
      <c r="A26" s="1" t="s">
        <v>40</v>
      </c>
      <c r="B26" s="1" t="s">
        <v>53</v>
      </c>
      <c r="C26" s="1" t="s">
        <v>54</v>
      </c>
      <c r="D26" s="1" t="s">
        <v>56</v>
      </c>
      <c r="E26" s="1" t="s">
        <v>57</v>
      </c>
      <c r="F26" s="1" t="s">
        <v>59</v>
      </c>
      <c r="G26" s="1" t="s">
        <v>58</v>
      </c>
      <c r="H26" s="1" t="s">
        <v>55</v>
      </c>
    </row>
    <row r="27" spans="1:14" x14ac:dyDescent="0.2">
      <c r="A27" s="1">
        <v>2000</v>
      </c>
      <c r="B27" s="1">
        <v>10</v>
      </c>
      <c r="C27" s="1">
        <v>300</v>
      </c>
      <c r="D27" s="1">
        <v>20</v>
      </c>
      <c r="E27" s="1">
        <v>10</v>
      </c>
      <c r="F27" s="1">
        <v>30</v>
      </c>
      <c r="G27" s="1">
        <v>10</v>
      </c>
      <c r="H27" s="1">
        <f>A27*(1+B27/100)*(C27/100)*(1+D27/100)*(1+E27/100)*(1-F27/100)*(1-G27/100)</f>
        <v>5488.5599999999995</v>
      </c>
      <c r="I27" s="3"/>
    </row>
    <row r="28" spans="1:14" x14ac:dyDescent="0.2">
      <c r="A28" s="5" t="s">
        <v>60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</row>
    <row r="29" spans="1:14" x14ac:dyDescent="0.2">
      <c r="A29" s="1" t="s">
        <v>40</v>
      </c>
      <c r="B29" s="1" t="s">
        <v>53</v>
      </c>
      <c r="C29" s="1" t="s">
        <v>54</v>
      </c>
      <c r="D29" s="1" t="s">
        <v>61</v>
      </c>
      <c r="E29" s="1" t="s">
        <v>57</v>
      </c>
      <c r="F29" s="1" t="s">
        <v>62</v>
      </c>
      <c r="G29" s="1" t="s">
        <v>63</v>
      </c>
      <c r="H29" s="1" t="s">
        <v>64</v>
      </c>
      <c r="I29" s="1" t="s">
        <v>58</v>
      </c>
      <c r="J29" s="1" t="s">
        <v>55</v>
      </c>
    </row>
    <row r="30" spans="1:14" x14ac:dyDescent="0.2">
      <c r="A30" s="1">
        <v>2000</v>
      </c>
      <c r="B30" s="1">
        <v>10</v>
      </c>
      <c r="C30" s="1">
        <v>400</v>
      </c>
      <c r="D30" s="1">
        <v>20</v>
      </c>
      <c r="E30" s="1">
        <v>5</v>
      </c>
      <c r="F30" s="1">
        <v>50</v>
      </c>
      <c r="G30" s="1">
        <v>30</v>
      </c>
      <c r="H30" s="1">
        <v>30</v>
      </c>
      <c r="I30" s="1">
        <v>10</v>
      </c>
      <c r="J30" s="1">
        <f>A30*(1+B30/100)*(C30/100)*(1+D30/100)*(1+E30/100)*(1+F30/100)*(1-G30/100)*(1-H30/100)*(1-I30/100)*2</f>
        <v>14669.423999999999</v>
      </c>
    </row>
  </sheetData>
  <mergeCells count="1">
    <mergeCell ref="A24:M24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C305D-776C-4500-9A77-0A033BFBE109}">
  <sheetPr codeName="Sheet2"/>
  <dimension ref="A1:M32"/>
  <sheetViews>
    <sheetView topLeftCell="I19" zoomScaleNormal="100" workbookViewId="0">
      <selection activeCell="B9" sqref="B9:D9"/>
    </sheetView>
  </sheetViews>
  <sheetFormatPr defaultRowHeight="14.25" x14ac:dyDescent="0.2"/>
  <cols>
    <col min="1" max="1" width="11.375" bestFit="1" customWidth="1"/>
    <col min="2" max="2" width="11.25" bestFit="1" customWidth="1"/>
    <col min="6" max="6" width="12.75" bestFit="1" customWidth="1"/>
    <col min="12" max="12" width="15" bestFit="1" customWidth="1"/>
    <col min="13" max="13" width="13" bestFit="1" customWidth="1"/>
  </cols>
  <sheetData>
    <row r="1" spans="1:13" x14ac:dyDescent="0.2">
      <c r="A1" s="59" t="s">
        <v>66</v>
      </c>
      <c r="B1" s="59"/>
      <c r="C1" s="59"/>
      <c r="D1" s="59"/>
      <c r="E1" s="59"/>
      <c r="F1" s="59"/>
      <c r="G1" s="59"/>
      <c r="H1" s="59"/>
      <c r="I1" s="59"/>
      <c r="J1" s="59"/>
    </row>
    <row r="2" spans="1:13" x14ac:dyDescent="0.2">
      <c r="A2" s="57" t="s">
        <v>67</v>
      </c>
      <c r="B2" s="57"/>
      <c r="C2" s="57"/>
      <c r="D2" s="57"/>
      <c r="K2" s="58" t="s">
        <v>213</v>
      </c>
      <c r="L2" s="58"/>
      <c r="M2" s="58"/>
    </row>
    <row r="3" spans="1:13" x14ac:dyDescent="0.2">
      <c r="B3" s="57" t="s">
        <v>69</v>
      </c>
      <c r="C3" s="57"/>
      <c r="D3" s="57"/>
      <c r="E3" s="57" t="s">
        <v>103</v>
      </c>
      <c r="F3" s="57"/>
      <c r="K3" s="7" t="s">
        <v>98</v>
      </c>
      <c r="L3" s="8" t="s">
        <v>99</v>
      </c>
      <c r="M3" s="9" t="s">
        <v>100</v>
      </c>
    </row>
    <row r="4" spans="1:13" x14ac:dyDescent="0.2">
      <c r="A4" t="s">
        <v>104</v>
      </c>
      <c r="B4" t="s">
        <v>70</v>
      </c>
      <c r="C4" t="s">
        <v>71</v>
      </c>
      <c r="D4" t="s">
        <v>72</v>
      </c>
      <c r="E4" s="6" t="s">
        <v>101</v>
      </c>
      <c r="F4" s="6" t="s">
        <v>102</v>
      </c>
      <c r="K4" s="10">
        <v>12</v>
      </c>
      <c r="L4">
        <v>96</v>
      </c>
      <c r="M4" s="11">
        <f>100-((100-L4)*45/93)</f>
        <v>98.064516129032256</v>
      </c>
    </row>
    <row r="5" spans="1:13" x14ac:dyDescent="0.2">
      <c r="A5" t="s">
        <v>68</v>
      </c>
      <c r="B5">
        <v>16</v>
      </c>
      <c r="C5">
        <v>23</v>
      </c>
      <c r="D5">
        <v>27</v>
      </c>
      <c r="E5" s="6">
        <f>表5[[#This Row],[混沌]]/表5[[#This Row],[骑士]]</f>
        <v>1.4375</v>
      </c>
      <c r="F5" s="6">
        <f>表5[[#This Row],[地狱]]/表5[[#This Row],[混沌]]</f>
        <v>1.173913043478261</v>
      </c>
      <c r="K5" s="10">
        <v>16</v>
      </c>
      <c r="L5">
        <v>94.7</v>
      </c>
      <c r="M5" s="11">
        <f t="shared" ref="M5:M8" si="0">100-((100-L5)*45/93)</f>
        <v>97.435483870967744</v>
      </c>
    </row>
    <row r="6" spans="1:13" x14ac:dyDescent="0.2">
      <c r="A6" t="s">
        <v>73</v>
      </c>
      <c r="B6">
        <v>15</v>
      </c>
      <c r="C6">
        <v>21</v>
      </c>
      <c r="D6">
        <v>27</v>
      </c>
      <c r="E6" s="6">
        <f>表5[[#This Row],[混沌]]/表5[[#This Row],[骑士]]</f>
        <v>1.4</v>
      </c>
      <c r="F6" s="6">
        <f>表5[[#This Row],[地狱]]/表5[[#This Row],[混沌]]</f>
        <v>1.2857142857142858</v>
      </c>
      <c r="K6" s="10">
        <v>23</v>
      </c>
      <c r="L6">
        <v>92.3</v>
      </c>
      <c r="M6" s="11">
        <f t="shared" si="0"/>
        <v>96.274193548387089</v>
      </c>
    </row>
    <row r="7" spans="1:13" x14ac:dyDescent="0.2">
      <c r="A7" t="s">
        <v>74</v>
      </c>
      <c r="B7">
        <v>19</v>
      </c>
      <c r="C7">
        <v>27</v>
      </c>
      <c r="D7">
        <v>33</v>
      </c>
      <c r="E7" s="6">
        <f>表5[[#This Row],[混沌]]/表5[[#This Row],[骑士]]</f>
        <v>1.4210526315789473</v>
      </c>
      <c r="F7" s="6">
        <f>表5[[#This Row],[地狱]]/表5[[#This Row],[混沌]]</f>
        <v>1.2222222222222223</v>
      </c>
      <c r="K7" s="10">
        <v>47</v>
      </c>
      <c r="L7">
        <v>84.3</v>
      </c>
      <c r="M7" s="11">
        <f t="shared" si="0"/>
        <v>92.403225806451616</v>
      </c>
    </row>
    <row r="8" spans="1:13" x14ac:dyDescent="0.2">
      <c r="A8" s="57" t="s">
        <v>75</v>
      </c>
      <c r="B8" s="57"/>
      <c r="C8" s="57"/>
      <c r="D8" s="57"/>
      <c r="K8" s="12">
        <v>62</v>
      </c>
      <c r="L8" s="3">
        <v>79.3</v>
      </c>
      <c r="M8" s="13">
        <f t="shared" si="0"/>
        <v>89.983870967741936</v>
      </c>
    </row>
    <row r="9" spans="1:13" x14ac:dyDescent="0.2">
      <c r="B9" s="57" t="s">
        <v>69</v>
      </c>
      <c r="C9" s="57"/>
      <c r="D9" s="57"/>
      <c r="E9" s="57" t="s">
        <v>103</v>
      </c>
      <c r="F9" s="57"/>
    </row>
    <row r="10" spans="1:13" x14ac:dyDescent="0.2">
      <c r="A10" t="s">
        <v>104</v>
      </c>
      <c r="B10" t="s">
        <v>70</v>
      </c>
      <c r="C10" t="s">
        <v>71</v>
      </c>
      <c r="D10" t="s">
        <v>72</v>
      </c>
      <c r="E10" s="6" t="s">
        <v>101</v>
      </c>
      <c r="F10" s="6" t="s">
        <v>102</v>
      </c>
      <c r="K10" s="7" t="s">
        <v>98</v>
      </c>
      <c r="L10" s="8" t="s">
        <v>99</v>
      </c>
      <c r="M10" s="9" t="s">
        <v>100</v>
      </c>
    </row>
    <row r="11" spans="1:13" x14ac:dyDescent="0.2">
      <c r="A11" t="s">
        <v>94</v>
      </c>
      <c r="B11">
        <v>1600</v>
      </c>
      <c r="C11">
        <v>2400</v>
      </c>
      <c r="D11">
        <v>3500</v>
      </c>
      <c r="E11" s="6">
        <f>表4[[#This Row],[混沌]]/表4[[#This Row],[骑士]]</f>
        <v>1.5</v>
      </c>
      <c r="F11" s="6">
        <f>表4[[#This Row],[地狱]]/表4[[#This Row],[混沌]]</f>
        <v>1.4583333333333333</v>
      </c>
      <c r="K11" s="10">
        <v>17</v>
      </c>
      <c r="L11">
        <v>89</v>
      </c>
      <c r="M11" s="11">
        <f>100-((100-L11)*45/93)</f>
        <v>94.677419354838705</v>
      </c>
    </row>
    <row r="12" spans="1:13" x14ac:dyDescent="0.2">
      <c r="A12" t="s">
        <v>93</v>
      </c>
      <c r="B12">
        <v>1520</v>
      </c>
      <c r="C12">
        <v>2530</v>
      </c>
      <c r="D12">
        <v>3400</v>
      </c>
      <c r="E12" s="6">
        <f>表4[[#This Row],[混沌]]/表4[[#This Row],[骑士]]</f>
        <v>1.6644736842105263</v>
      </c>
      <c r="F12" s="6">
        <f>表4[[#This Row],[地狱]]/表4[[#This Row],[混沌]]</f>
        <v>1.3438735177865613</v>
      </c>
      <c r="K12" s="10">
        <v>21</v>
      </c>
      <c r="L12">
        <v>86.5</v>
      </c>
      <c r="M12" s="11">
        <f t="shared" ref="M12:M16" si="1">100-((100-L12)*45/93)</f>
        <v>93.467741935483872</v>
      </c>
    </row>
    <row r="13" spans="1:13" x14ac:dyDescent="0.2">
      <c r="A13" t="s">
        <v>90</v>
      </c>
      <c r="B13">
        <v>1400</v>
      </c>
      <c r="C13">
        <v>2000</v>
      </c>
      <c r="D13">
        <v>3000</v>
      </c>
      <c r="E13" s="6">
        <f>表4[[#This Row],[混沌]]/表4[[#This Row],[骑士]]</f>
        <v>1.4285714285714286</v>
      </c>
      <c r="F13" s="6">
        <f>表4[[#This Row],[地狱]]/表4[[#This Row],[混沌]]</f>
        <v>1.5</v>
      </c>
      <c r="K13" s="10">
        <v>23</v>
      </c>
      <c r="L13">
        <v>85.3</v>
      </c>
      <c r="M13" s="11">
        <f t="shared" si="1"/>
        <v>92.887096774193552</v>
      </c>
    </row>
    <row r="14" spans="1:13" x14ac:dyDescent="0.2">
      <c r="A14" t="s">
        <v>91</v>
      </c>
      <c r="B14">
        <v>1400</v>
      </c>
      <c r="C14">
        <v>2000</v>
      </c>
      <c r="D14">
        <v>3000</v>
      </c>
      <c r="E14" s="6">
        <f>表4[[#This Row],[混沌]]/表4[[#This Row],[骑士]]</f>
        <v>1.4285714285714286</v>
      </c>
      <c r="F14" s="6">
        <f>表4[[#This Row],[地狱]]/表4[[#This Row],[混沌]]</f>
        <v>1.5</v>
      </c>
      <c r="K14" s="10">
        <v>30</v>
      </c>
      <c r="L14">
        <v>81</v>
      </c>
      <c r="M14" s="11">
        <f t="shared" si="1"/>
        <v>90.806451612903231</v>
      </c>
    </row>
    <row r="15" spans="1:13" x14ac:dyDescent="0.2">
      <c r="A15" t="s">
        <v>92</v>
      </c>
      <c r="B15">
        <v>1400</v>
      </c>
      <c r="C15">
        <v>2000</v>
      </c>
      <c r="D15">
        <v>3000</v>
      </c>
      <c r="E15" s="6">
        <f>表4[[#This Row],[混沌]]/表4[[#This Row],[骑士]]</f>
        <v>1.4285714285714286</v>
      </c>
      <c r="F15" s="6">
        <f>表4[[#This Row],[地狱]]/表4[[#This Row],[混沌]]</f>
        <v>1.5</v>
      </c>
      <c r="K15" s="10">
        <v>44</v>
      </c>
      <c r="L15">
        <v>72.8</v>
      </c>
      <c r="M15" s="11">
        <f t="shared" si="1"/>
        <v>86.838709677419359</v>
      </c>
    </row>
    <row r="16" spans="1:13" x14ac:dyDescent="0.2">
      <c r="A16" t="s">
        <v>96</v>
      </c>
      <c r="B16">
        <v>1400</v>
      </c>
      <c r="C16">
        <v>2000</v>
      </c>
      <c r="D16">
        <v>3000</v>
      </c>
      <c r="E16" s="6">
        <f>表4[[#This Row],[混沌]]/表4[[#This Row],[骑士]]</f>
        <v>1.4285714285714286</v>
      </c>
      <c r="F16" s="6">
        <f>表4[[#This Row],[地狱]]/表4[[#This Row],[混沌]]</f>
        <v>1.5</v>
      </c>
      <c r="K16" s="12">
        <v>63</v>
      </c>
      <c r="L16" s="3">
        <v>62.4</v>
      </c>
      <c r="M16" s="13">
        <f t="shared" si="1"/>
        <v>81.806451612903231</v>
      </c>
    </row>
    <row r="17" spans="1:6" x14ac:dyDescent="0.2">
      <c r="A17" t="s">
        <v>97</v>
      </c>
      <c r="B17">
        <v>1400</v>
      </c>
      <c r="C17">
        <v>2000</v>
      </c>
      <c r="D17">
        <v>3000</v>
      </c>
      <c r="E17" s="6">
        <f>表4[[#This Row],[混沌]]/表4[[#This Row],[骑士]]</f>
        <v>1.4285714285714286</v>
      </c>
      <c r="F17" s="6">
        <f>表4[[#This Row],[地狱]]/表4[[#This Row],[混沌]]</f>
        <v>1.5</v>
      </c>
    </row>
    <row r="18" spans="1:6" x14ac:dyDescent="0.2">
      <c r="A18" t="s">
        <v>95</v>
      </c>
      <c r="B18">
        <v>1200</v>
      </c>
      <c r="C18">
        <v>1800</v>
      </c>
      <c r="D18">
        <v>2700</v>
      </c>
      <c r="E18" s="6">
        <f>表4[[#This Row],[混沌]]/表4[[#This Row],[骑士]]</f>
        <v>1.5</v>
      </c>
      <c r="F18" s="6">
        <f>表4[[#This Row],[地狱]]/表4[[#This Row],[混沌]]</f>
        <v>1.5</v>
      </c>
    </row>
    <row r="19" spans="1:6" x14ac:dyDescent="0.2">
      <c r="A19" t="s">
        <v>83</v>
      </c>
      <c r="B19">
        <v>1000</v>
      </c>
      <c r="C19">
        <v>1500</v>
      </c>
      <c r="D19">
        <v>2220</v>
      </c>
      <c r="E19" s="6">
        <f>表4[[#This Row],[混沌]]/表4[[#This Row],[骑士]]</f>
        <v>1.5</v>
      </c>
      <c r="F19" s="6">
        <f>表4[[#This Row],[地狱]]/表4[[#This Row],[混沌]]</f>
        <v>1.48</v>
      </c>
    </row>
    <row r="20" spans="1:6" x14ac:dyDescent="0.2">
      <c r="A20" t="s">
        <v>78</v>
      </c>
      <c r="B20">
        <v>1000</v>
      </c>
      <c r="C20">
        <v>1500</v>
      </c>
      <c r="D20">
        <v>2100</v>
      </c>
      <c r="E20" s="6">
        <f>表4[[#This Row],[混沌]]/表4[[#This Row],[骑士]]</f>
        <v>1.5</v>
      </c>
      <c r="F20" s="6">
        <f>表4[[#This Row],[地狱]]/表4[[#This Row],[混沌]]</f>
        <v>1.4</v>
      </c>
    </row>
    <row r="21" spans="1:6" x14ac:dyDescent="0.2">
      <c r="A21" t="s">
        <v>81</v>
      </c>
      <c r="B21">
        <v>820</v>
      </c>
      <c r="C21">
        <v>1230</v>
      </c>
      <c r="D21">
        <v>1900</v>
      </c>
      <c r="E21" s="6">
        <f>表4[[#This Row],[混沌]]/表4[[#This Row],[骑士]]</f>
        <v>1.5</v>
      </c>
      <c r="F21" s="6">
        <f>表4[[#This Row],[地狱]]/表4[[#This Row],[混沌]]</f>
        <v>1.5447154471544715</v>
      </c>
    </row>
    <row r="22" spans="1:6" x14ac:dyDescent="0.2">
      <c r="A22" t="s">
        <v>76</v>
      </c>
      <c r="B22">
        <v>830</v>
      </c>
      <c r="C22">
        <v>1200</v>
      </c>
      <c r="D22">
        <v>1800</v>
      </c>
      <c r="E22" s="6">
        <f>表4[[#This Row],[混沌]]/表4[[#This Row],[骑士]]</f>
        <v>1.4457831325301205</v>
      </c>
      <c r="F22" s="6">
        <f>表4[[#This Row],[地狱]]/表4[[#This Row],[混沌]]</f>
        <v>1.5</v>
      </c>
    </row>
    <row r="23" spans="1:6" x14ac:dyDescent="0.2">
      <c r="A23" t="s">
        <v>79</v>
      </c>
      <c r="B23">
        <v>736</v>
      </c>
      <c r="C23">
        <v>1100</v>
      </c>
      <c r="D23">
        <v>1700</v>
      </c>
      <c r="E23" s="6">
        <f>表4[[#This Row],[混沌]]/表4[[#This Row],[骑士]]</f>
        <v>1.4945652173913044</v>
      </c>
      <c r="F23" s="6">
        <f>表4[[#This Row],[地狱]]/表4[[#This Row],[混沌]]</f>
        <v>1.5454545454545454</v>
      </c>
    </row>
    <row r="24" spans="1:6" x14ac:dyDescent="0.2">
      <c r="A24" t="s">
        <v>86</v>
      </c>
      <c r="B24">
        <v>586</v>
      </c>
      <c r="C24">
        <v>885</v>
      </c>
      <c r="D24">
        <v>1290</v>
      </c>
      <c r="E24" s="6">
        <f>表4[[#This Row],[混沌]]/表4[[#This Row],[骑士]]</f>
        <v>1.5102389078498293</v>
      </c>
      <c r="F24" s="6">
        <f>表4[[#This Row],[地狱]]/表4[[#This Row],[混沌]]</f>
        <v>1.4576271186440677</v>
      </c>
    </row>
    <row r="25" spans="1:6" x14ac:dyDescent="0.2">
      <c r="A25" t="s">
        <v>77</v>
      </c>
      <c r="B25">
        <v>450</v>
      </c>
      <c r="C25">
        <v>675</v>
      </c>
      <c r="D25">
        <v>990</v>
      </c>
      <c r="E25" s="6">
        <f>表4[[#This Row],[混沌]]/表4[[#This Row],[骑士]]</f>
        <v>1.5</v>
      </c>
      <c r="F25" s="6">
        <f>表4[[#This Row],[地狱]]/表4[[#This Row],[混沌]]</f>
        <v>1.4666666666666666</v>
      </c>
    </row>
    <row r="26" spans="1:6" x14ac:dyDescent="0.2">
      <c r="A26" t="s">
        <v>84</v>
      </c>
      <c r="B26">
        <v>375</v>
      </c>
      <c r="C26">
        <v>570</v>
      </c>
      <c r="D26">
        <v>820</v>
      </c>
      <c r="E26" s="6">
        <f>表4[[#This Row],[混沌]]/表4[[#This Row],[骑士]]</f>
        <v>1.52</v>
      </c>
      <c r="F26" s="6">
        <f>表4[[#This Row],[地狱]]/表4[[#This Row],[混沌]]</f>
        <v>1.4385964912280702</v>
      </c>
    </row>
    <row r="27" spans="1:6" x14ac:dyDescent="0.2">
      <c r="A27" t="s">
        <v>82</v>
      </c>
      <c r="B27">
        <v>345</v>
      </c>
      <c r="C27">
        <v>520</v>
      </c>
      <c r="D27">
        <v>750</v>
      </c>
      <c r="E27" s="6">
        <f>表4[[#This Row],[混沌]]/表4[[#This Row],[骑士]]</f>
        <v>1.5072463768115942</v>
      </c>
      <c r="F27" s="6">
        <f>表4[[#This Row],[地狱]]/表4[[#This Row],[混沌]]</f>
        <v>1.4423076923076923</v>
      </c>
    </row>
    <row r="28" spans="1:6" x14ac:dyDescent="0.2">
      <c r="A28" t="s">
        <v>85</v>
      </c>
      <c r="B28">
        <v>310</v>
      </c>
      <c r="C28">
        <v>474</v>
      </c>
      <c r="D28">
        <v>700</v>
      </c>
      <c r="E28" s="6">
        <f>表4[[#This Row],[混沌]]/表4[[#This Row],[骑士]]</f>
        <v>1.5290322580645161</v>
      </c>
      <c r="F28" s="6">
        <f>表4[[#This Row],[地狱]]/表4[[#This Row],[混沌]]</f>
        <v>1.4767932489451476</v>
      </c>
    </row>
    <row r="29" spans="1:6" x14ac:dyDescent="0.2">
      <c r="A29" t="s">
        <v>87</v>
      </c>
      <c r="B29">
        <v>380</v>
      </c>
      <c r="C29">
        <v>510</v>
      </c>
      <c r="D29">
        <v>620</v>
      </c>
      <c r="E29" s="6">
        <f>表4[[#This Row],[混沌]]/表4[[#This Row],[骑士]]</f>
        <v>1.3421052631578947</v>
      </c>
      <c r="F29" s="6">
        <f>表4[[#This Row],[地狱]]/表4[[#This Row],[混沌]]</f>
        <v>1.2156862745098038</v>
      </c>
    </row>
    <row r="30" spans="1:6" x14ac:dyDescent="0.2">
      <c r="A30" t="s">
        <v>88</v>
      </c>
      <c r="B30">
        <v>280</v>
      </c>
      <c r="C30">
        <v>400</v>
      </c>
      <c r="D30">
        <v>600</v>
      </c>
      <c r="E30" s="6">
        <f>表4[[#This Row],[混沌]]/表4[[#This Row],[骑士]]</f>
        <v>1.4285714285714286</v>
      </c>
      <c r="F30" s="6">
        <f>表4[[#This Row],[地狱]]/表4[[#This Row],[混沌]]</f>
        <v>1.5</v>
      </c>
    </row>
    <row r="31" spans="1:6" x14ac:dyDescent="0.2">
      <c r="A31" t="s">
        <v>80</v>
      </c>
      <c r="B31">
        <v>230</v>
      </c>
      <c r="C31">
        <v>350</v>
      </c>
      <c r="D31">
        <v>500</v>
      </c>
      <c r="E31" s="6">
        <f>表4[[#This Row],[混沌]]/表4[[#This Row],[骑士]]</f>
        <v>1.5217391304347827</v>
      </c>
      <c r="F31" s="6">
        <f>表4[[#This Row],[地狱]]/表4[[#This Row],[混沌]]</f>
        <v>1.4285714285714286</v>
      </c>
    </row>
    <row r="32" spans="1:6" x14ac:dyDescent="0.2">
      <c r="A32" t="s">
        <v>89</v>
      </c>
      <c r="B32">
        <v>200</v>
      </c>
      <c r="C32">
        <v>300</v>
      </c>
      <c r="D32">
        <v>350</v>
      </c>
      <c r="E32" s="6">
        <f>表4[[#This Row],[混沌]]/表4[[#This Row],[骑士]]</f>
        <v>1.5</v>
      </c>
      <c r="F32" s="6">
        <f>表4[[#This Row],[地狱]]/表4[[#This Row],[混沌]]</f>
        <v>1.1666666666666667</v>
      </c>
    </row>
  </sheetData>
  <mergeCells count="8">
    <mergeCell ref="B9:D9"/>
    <mergeCell ref="E9:F9"/>
    <mergeCell ref="E3:F3"/>
    <mergeCell ref="K2:M2"/>
    <mergeCell ref="A1:J1"/>
    <mergeCell ref="B3:D3"/>
    <mergeCell ref="A2:D2"/>
    <mergeCell ref="A8:D8"/>
  </mergeCells>
  <phoneticPr fontId="1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52DDB-1318-4B67-BC16-B20F6CD3D21D}">
  <sheetPr codeName="Sheet3"/>
  <dimension ref="A1:L33"/>
  <sheetViews>
    <sheetView topLeftCell="A10" zoomScale="115" zoomScaleNormal="115" workbookViewId="0">
      <selection activeCell="K18" sqref="K18"/>
    </sheetView>
  </sheetViews>
  <sheetFormatPr defaultRowHeight="14.25" x14ac:dyDescent="0.2"/>
  <cols>
    <col min="2" max="2" width="14.875" customWidth="1"/>
    <col min="7" max="9" width="9.75" customWidth="1"/>
    <col min="12" max="12" width="15.375" customWidth="1"/>
  </cols>
  <sheetData>
    <row r="1" spans="1:12" x14ac:dyDescent="0.2">
      <c r="A1" s="60" t="s">
        <v>112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2"/>
    </row>
    <row r="2" spans="1:12" x14ac:dyDescent="0.2">
      <c r="A2" t="s">
        <v>168</v>
      </c>
      <c r="B2" t="s">
        <v>110</v>
      </c>
      <c r="C2" t="s">
        <v>105</v>
      </c>
      <c r="D2" t="s">
        <v>106</v>
      </c>
      <c r="E2" t="s">
        <v>107</v>
      </c>
      <c r="F2" t="s">
        <v>108</v>
      </c>
      <c r="G2" t="s">
        <v>124</v>
      </c>
      <c r="H2" t="s">
        <v>120</v>
      </c>
      <c r="I2" t="s">
        <v>122</v>
      </c>
      <c r="J2" t="s">
        <v>116</v>
      </c>
      <c r="K2" t="s">
        <v>109</v>
      </c>
      <c r="L2" t="s">
        <v>121</v>
      </c>
    </row>
    <row r="3" spans="1:12" x14ac:dyDescent="0.2">
      <c r="A3" s="40" t="s">
        <v>114</v>
      </c>
      <c r="B3" s="1" t="s">
        <v>111</v>
      </c>
      <c r="C3" s="1">
        <f>35*30</f>
        <v>1050</v>
      </c>
      <c r="D3" s="1"/>
      <c r="E3" s="1"/>
      <c r="F3" s="1"/>
      <c r="G3" s="1"/>
      <c r="H3" s="1"/>
      <c r="I3" s="1"/>
      <c r="J3" s="1"/>
      <c r="K3" s="1">
        <f>300*35</f>
        <v>10500</v>
      </c>
      <c r="L3" s="1">
        <f t="shared" ref="L3:L22" si="0">K3/30*86</f>
        <v>30100</v>
      </c>
    </row>
    <row r="4" spans="1:12" x14ac:dyDescent="0.2">
      <c r="A4" s="41"/>
      <c r="B4" s="1" t="s">
        <v>113</v>
      </c>
      <c r="C4" s="1">
        <v>5000</v>
      </c>
      <c r="D4" s="1"/>
      <c r="E4" s="1"/>
      <c r="F4" s="1"/>
      <c r="G4" s="1"/>
      <c r="H4" s="1"/>
      <c r="I4" s="1"/>
      <c r="J4" s="1"/>
      <c r="K4" s="1"/>
      <c r="L4" s="1">
        <f t="shared" si="0"/>
        <v>0</v>
      </c>
    </row>
    <row r="5" spans="1:12" x14ac:dyDescent="0.2">
      <c r="A5" s="41"/>
      <c r="B5" s="1" t="s">
        <v>115</v>
      </c>
      <c r="C5" s="1"/>
      <c r="D5" s="1"/>
      <c r="E5" s="1">
        <f>150*5</f>
        <v>750</v>
      </c>
      <c r="F5" s="1"/>
      <c r="G5" s="1"/>
      <c r="H5" s="1"/>
      <c r="I5" s="1"/>
      <c r="J5" s="1"/>
      <c r="K5" s="1"/>
      <c r="L5" s="1">
        <f t="shared" si="0"/>
        <v>0</v>
      </c>
    </row>
    <row r="6" spans="1:12" x14ac:dyDescent="0.2">
      <c r="A6" s="41"/>
      <c r="B6" s="1" t="s">
        <v>117</v>
      </c>
      <c r="C6" s="1">
        <f>50*5</f>
        <v>250</v>
      </c>
      <c r="D6" s="1"/>
      <c r="E6" s="1"/>
      <c r="F6" s="1"/>
      <c r="G6" s="1"/>
      <c r="H6" s="1"/>
      <c r="I6" s="1"/>
      <c r="J6" s="1">
        <f>62*5</f>
        <v>310</v>
      </c>
      <c r="K6" s="1"/>
      <c r="L6" s="1">
        <f t="shared" si="0"/>
        <v>0</v>
      </c>
    </row>
    <row r="7" spans="1:12" x14ac:dyDescent="0.2">
      <c r="A7" s="41"/>
      <c r="B7" s="1" t="s">
        <v>118</v>
      </c>
      <c r="C7" s="1"/>
      <c r="D7" s="1"/>
      <c r="E7" s="1"/>
      <c r="F7" s="1">
        <f>720*5</f>
        <v>3600</v>
      </c>
      <c r="G7" s="1"/>
      <c r="H7" s="1">
        <f>150*5</f>
        <v>750</v>
      </c>
      <c r="I7" s="1">
        <f>25*5</f>
        <v>125</v>
      </c>
      <c r="J7" s="1"/>
      <c r="K7" s="1"/>
      <c r="L7" s="1">
        <f t="shared" si="0"/>
        <v>0</v>
      </c>
    </row>
    <row r="8" spans="1:12" x14ac:dyDescent="0.2">
      <c r="A8" s="41"/>
      <c r="B8" s="1" t="s">
        <v>119</v>
      </c>
      <c r="C8" s="1"/>
      <c r="D8" s="1">
        <v>525</v>
      </c>
      <c r="E8" s="1"/>
      <c r="F8" s="1">
        <v>700</v>
      </c>
      <c r="G8" s="1"/>
      <c r="H8" s="1"/>
      <c r="I8" s="1"/>
      <c r="J8" s="1"/>
      <c r="K8" s="1"/>
      <c r="L8" s="1">
        <f t="shared" si="0"/>
        <v>0</v>
      </c>
    </row>
    <row r="9" spans="1:12" x14ac:dyDescent="0.2">
      <c r="A9" s="41"/>
      <c r="B9" s="1" t="s">
        <v>123</v>
      </c>
      <c r="C9" s="1">
        <v>1250</v>
      </c>
      <c r="D9" s="1"/>
      <c r="E9" s="1"/>
      <c r="F9" s="1"/>
      <c r="G9" s="1">
        <v>625</v>
      </c>
      <c r="H9" s="1"/>
      <c r="I9" s="1"/>
      <c r="J9" s="1"/>
      <c r="K9" s="1"/>
      <c r="L9" s="1">
        <f t="shared" si="0"/>
        <v>0</v>
      </c>
    </row>
    <row r="10" spans="1:12" x14ac:dyDescent="0.2">
      <c r="A10" s="41" t="s">
        <v>134</v>
      </c>
      <c r="B10" s="1" t="s">
        <v>125</v>
      </c>
      <c r="C10" s="1">
        <v>100</v>
      </c>
      <c r="D10" s="1"/>
      <c r="E10" s="1"/>
      <c r="F10" s="1">
        <v>100</v>
      </c>
      <c r="G10" s="1"/>
      <c r="H10" s="1"/>
      <c r="I10" s="1"/>
      <c r="J10" s="1"/>
      <c r="K10" s="1"/>
      <c r="L10" s="1">
        <f t="shared" si="0"/>
        <v>0</v>
      </c>
    </row>
    <row r="11" spans="1:12" x14ac:dyDescent="0.2">
      <c r="A11" s="41"/>
      <c r="B11" s="1" t="s">
        <v>126</v>
      </c>
      <c r="C11" s="1">
        <v>600</v>
      </c>
      <c r="D11" s="1"/>
      <c r="E11" s="1"/>
      <c r="F11" s="1"/>
      <c r="G11" s="1"/>
      <c r="H11" s="1"/>
      <c r="I11" s="1"/>
      <c r="J11" s="1"/>
      <c r="K11" s="1"/>
      <c r="L11" s="1">
        <f t="shared" si="0"/>
        <v>0</v>
      </c>
    </row>
    <row r="12" spans="1:12" x14ac:dyDescent="0.2">
      <c r="A12" s="41"/>
      <c r="B12" s="1" t="s">
        <v>127</v>
      </c>
      <c r="C12" s="1"/>
      <c r="D12" s="1"/>
      <c r="E12" s="1"/>
      <c r="F12" s="1"/>
      <c r="G12" s="1">
        <v>250</v>
      </c>
      <c r="H12" s="1"/>
      <c r="I12" s="1"/>
      <c r="J12" s="1"/>
      <c r="K12" s="1"/>
      <c r="L12" s="1">
        <f t="shared" si="0"/>
        <v>0</v>
      </c>
    </row>
    <row r="13" spans="1:12" x14ac:dyDescent="0.2">
      <c r="A13" s="41"/>
      <c r="B13" s="1" t="s">
        <v>128</v>
      </c>
      <c r="C13" s="1">
        <v>150</v>
      </c>
      <c r="D13" s="1"/>
      <c r="E13" s="1"/>
      <c r="F13" s="1"/>
      <c r="G13" s="1"/>
      <c r="H13" s="1"/>
      <c r="I13" s="1"/>
      <c r="J13" s="1"/>
      <c r="K13" s="1"/>
      <c r="L13" s="1">
        <f t="shared" si="0"/>
        <v>0</v>
      </c>
    </row>
    <row r="14" spans="1:12" x14ac:dyDescent="0.2">
      <c r="A14" s="41"/>
      <c r="B14" s="1" t="s">
        <v>129</v>
      </c>
      <c r="C14" s="1">
        <v>250</v>
      </c>
      <c r="D14" s="1"/>
      <c r="E14" s="1"/>
      <c r="F14" s="1"/>
      <c r="G14" s="1"/>
      <c r="H14" s="1"/>
      <c r="I14" s="1"/>
      <c r="J14" s="1"/>
      <c r="K14" s="1"/>
      <c r="L14" s="1">
        <f t="shared" si="0"/>
        <v>0</v>
      </c>
    </row>
    <row r="15" spans="1:12" x14ac:dyDescent="0.2">
      <c r="A15" s="41"/>
      <c r="B15" s="1" t="s">
        <v>130</v>
      </c>
      <c r="C15" s="1">
        <v>150</v>
      </c>
      <c r="D15" s="1"/>
      <c r="E15" s="1"/>
      <c r="F15" s="1"/>
      <c r="G15" s="1"/>
      <c r="H15" s="1"/>
      <c r="I15" s="1"/>
      <c r="J15" s="1"/>
      <c r="K15" s="1"/>
      <c r="L15" s="1">
        <f t="shared" si="0"/>
        <v>0</v>
      </c>
    </row>
    <row r="16" spans="1:12" x14ac:dyDescent="0.2">
      <c r="A16" s="41"/>
      <c r="B16" s="1" t="s">
        <v>131</v>
      </c>
      <c r="C16" s="1"/>
      <c r="D16" s="1">
        <v>100</v>
      </c>
      <c r="E16" s="1"/>
      <c r="F16" s="1">
        <v>200</v>
      </c>
      <c r="G16" s="1"/>
      <c r="H16" s="1"/>
      <c r="I16" s="1"/>
      <c r="J16" s="1"/>
      <c r="K16" s="1"/>
      <c r="L16" s="1">
        <f t="shared" si="0"/>
        <v>0</v>
      </c>
    </row>
    <row r="17" spans="1:12" x14ac:dyDescent="0.2">
      <c r="A17" s="41"/>
      <c r="B17" s="1" t="s">
        <v>132</v>
      </c>
      <c r="C17" s="1"/>
      <c r="D17" s="1">
        <v>250</v>
      </c>
      <c r="E17" s="1"/>
      <c r="F17" s="1">
        <v>200</v>
      </c>
      <c r="G17" s="1"/>
      <c r="H17" s="1"/>
      <c r="I17" s="1"/>
      <c r="J17" s="1"/>
      <c r="K17" s="1"/>
      <c r="L17" s="1">
        <f t="shared" si="0"/>
        <v>0</v>
      </c>
    </row>
    <row r="18" spans="1:12" x14ac:dyDescent="0.2">
      <c r="A18" s="41"/>
      <c r="B18" s="1" t="s">
        <v>133</v>
      </c>
      <c r="C18" s="1">
        <v>100</v>
      </c>
      <c r="D18" s="1"/>
      <c r="E18" s="1"/>
      <c r="F18" s="1"/>
      <c r="G18" s="1"/>
      <c r="H18" s="1"/>
      <c r="I18" s="1"/>
      <c r="J18" s="1"/>
      <c r="K18" s="1"/>
      <c r="L18" s="1">
        <f t="shared" si="0"/>
        <v>0</v>
      </c>
    </row>
    <row r="19" spans="1:12" x14ac:dyDescent="0.2">
      <c r="A19" s="41" t="s">
        <v>135</v>
      </c>
      <c r="B19" s="1" t="s">
        <v>136</v>
      </c>
      <c r="C19" s="1"/>
      <c r="D19" s="1">
        <v>500</v>
      </c>
      <c r="E19" s="1"/>
      <c r="F19" s="1">
        <v>500</v>
      </c>
      <c r="G19" s="1"/>
      <c r="H19" s="1"/>
      <c r="I19" s="1"/>
      <c r="J19" s="1"/>
      <c r="K19" s="1"/>
      <c r="L19" s="1">
        <f t="shared" si="0"/>
        <v>0</v>
      </c>
    </row>
    <row r="20" spans="1:12" x14ac:dyDescent="0.2">
      <c r="A20" s="41"/>
      <c r="B20" s="1" t="s">
        <v>137</v>
      </c>
      <c r="C20" s="1"/>
      <c r="D20" s="1">
        <v>500</v>
      </c>
      <c r="E20" s="1"/>
      <c r="F20" s="1">
        <v>500</v>
      </c>
      <c r="G20" s="1"/>
      <c r="H20" s="1"/>
      <c r="I20" s="1"/>
      <c r="J20" s="1"/>
      <c r="K20" s="1"/>
      <c r="L20" s="1">
        <f t="shared" si="0"/>
        <v>0</v>
      </c>
    </row>
    <row r="21" spans="1:12" x14ac:dyDescent="0.2">
      <c r="A21" s="41"/>
      <c r="B21" s="1" t="s">
        <v>138</v>
      </c>
      <c r="C21" s="1"/>
      <c r="D21" s="1">
        <v>500</v>
      </c>
      <c r="E21" s="1"/>
      <c r="F21" s="1">
        <v>500</v>
      </c>
      <c r="G21" s="1"/>
      <c r="H21" s="1">
        <v>480</v>
      </c>
      <c r="I21" s="1">
        <v>40</v>
      </c>
      <c r="J21" s="1"/>
      <c r="K21" s="1"/>
      <c r="L21" s="1">
        <f t="shared" si="0"/>
        <v>0</v>
      </c>
    </row>
    <row r="22" spans="1:12" x14ac:dyDescent="0.2">
      <c r="A22" s="1"/>
      <c r="B22" s="1" t="s">
        <v>141</v>
      </c>
      <c r="C22" s="1"/>
      <c r="D22" s="1"/>
      <c r="E22" s="1"/>
      <c r="F22" s="1">
        <v>2000</v>
      </c>
      <c r="G22" s="1"/>
      <c r="H22" s="1"/>
      <c r="I22" s="1"/>
      <c r="J22" s="1"/>
      <c r="K22" s="1"/>
      <c r="L22" s="1">
        <f t="shared" si="0"/>
        <v>0</v>
      </c>
    </row>
    <row r="23" spans="1:12" x14ac:dyDescent="0.2">
      <c r="A23" s="14" t="s">
        <v>139</v>
      </c>
      <c r="B23" s="15"/>
      <c r="C23" s="15">
        <f>SUM(C3:C21)</f>
        <v>8900</v>
      </c>
      <c r="D23" s="15">
        <f>SUM(D3:D21)</f>
        <v>2375</v>
      </c>
      <c r="E23" s="15">
        <f>SUM(E3:E21)</f>
        <v>750</v>
      </c>
      <c r="F23" s="15">
        <f>SUM(F3:F22)</f>
        <v>8300</v>
      </c>
      <c r="G23" s="15">
        <f>SUM(G3:G21)</f>
        <v>875</v>
      </c>
      <c r="H23" s="15">
        <f>SUM(H3:H21)</f>
        <v>1230</v>
      </c>
      <c r="I23" s="15">
        <f>SUM(I3:I21)</f>
        <v>165</v>
      </c>
      <c r="J23" s="15">
        <f>SUM(J3:J21)</f>
        <v>310</v>
      </c>
      <c r="K23" s="3"/>
      <c r="L23" s="13"/>
    </row>
    <row r="24" spans="1:12" x14ac:dyDescent="0.2">
      <c r="A24" s="58" t="s">
        <v>144</v>
      </c>
      <c r="B24" s="1" t="s">
        <v>140</v>
      </c>
      <c r="C24" s="1">
        <f>110*35</f>
        <v>3850</v>
      </c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2">
      <c r="A25" s="58"/>
      <c r="B25" s="1" t="s">
        <v>142</v>
      </c>
      <c r="C25" s="1"/>
      <c r="D25" s="1"/>
      <c r="E25" s="1"/>
      <c r="F25" s="1">
        <v>8000</v>
      </c>
      <c r="G25" s="1">
        <v>2500</v>
      </c>
      <c r="H25" s="1"/>
      <c r="I25" s="1"/>
      <c r="J25" s="1"/>
      <c r="K25" s="1"/>
      <c r="L25" s="1"/>
    </row>
    <row r="26" spans="1:12" x14ac:dyDescent="0.2">
      <c r="A26" s="58"/>
      <c r="B26" s="1" t="s">
        <v>143</v>
      </c>
      <c r="C26" s="1"/>
      <c r="D26" s="1">
        <v>2500</v>
      </c>
      <c r="E26" s="1"/>
      <c r="F26" s="1">
        <v>15000</v>
      </c>
      <c r="G26" s="1"/>
      <c r="H26" s="1"/>
      <c r="I26" s="1"/>
      <c r="J26" s="1"/>
      <c r="K26" s="1"/>
      <c r="L26" s="1"/>
    </row>
    <row r="27" spans="1:12" x14ac:dyDescent="0.2">
      <c r="A27" s="35" t="s">
        <v>139</v>
      </c>
      <c r="B27" s="35"/>
      <c r="C27" s="35">
        <f>SUM(C23:C26)</f>
        <v>12750</v>
      </c>
      <c r="D27" s="35">
        <f t="shared" ref="D27:J27" si="1">SUM(D23:D26)</f>
        <v>4875</v>
      </c>
      <c r="E27" s="35">
        <f t="shared" si="1"/>
        <v>750</v>
      </c>
      <c r="F27" s="35">
        <f t="shared" si="1"/>
        <v>31300</v>
      </c>
      <c r="G27" s="35">
        <f t="shared" si="1"/>
        <v>3375</v>
      </c>
      <c r="H27" s="35">
        <f t="shared" si="1"/>
        <v>1230</v>
      </c>
      <c r="I27" s="35">
        <f t="shared" si="1"/>
        <v>165</v>
      </c>
      <c r="J27" s="35">
        <f t="shared" si="1"/>
        <v>310</v>
      </c>
      <c r="K27" s="1"/>
      <c r="L27" s="1"/>
    </row>
    <row r="29" spans="1:12" x14ac:dyDescent="0.2">
      <c r="A29" s="63" t="s">
        <v>172</v>
      </c>
      <c r="B29" s="64"/>
      <c r="C29" s="64"/>
      <c r="D29" s="64"/>
      <c r="E29" s="64"/>
      <c r="F29" s="64"/>
    </row>
    <row r="30" spans="1:12" x14ac:dyDescent="0.2">
      <c r="A30" s="64"/>
      <c r="B30" s="64"/>
      <c r="C30" s="64"/>
      <c r="D30" s="64"/>
      <c r="E30" s="64"/>
      <c r="F30" s="64"/>
    </row>
    <row r="31" spans="1:12" x14ac:dyDescent="0.2">
      <c r="A31" s="16"/>
      <c r="B31" s="16" t="s">
        <v>175</v>
      </c>
      <c r="C31" s="16" t="s">
        <v>176</v>
      </c>
      <c r="D31" s="16" t="s">
        <v>177</v>
      </c>
      <c r="E31" s="16"/>
      <c r="F31" s="16"/>
    </row>
    <row r="32" spans="1:12" x14ac:dyDescent="0.2">
      <c r="A32" s="16" t="s">
        <v>173</v>
      </c>
      <c r="B32" s="16">
        <f>C23+D23-22500</f>
        <v>-11225</v>
      </c>
      <c r="C32" s="16">
        <f>G23-5000</f>
        <v>-4125</v>
      </c>
      <c r="D32" s="16">
        <f>L3-28802</f>
        <v>1298</v>
      </c>
      <c r="E32" s="16"/>
      <c r="F32" s="16"/>
    </row>
    <row r="33" spans="1:6" x14ac:dyDescent="0.2">
      <c r="A33" s="16" t="s">
        <v>174</v>
      </c>
      <c r="B33" s="16">
        <f>C27+D27-22500</f>
        <v>-4875</v>
      </c>
      <c r="C33" s="16">
        <f>G27-5000</f>
        <v>-1625</v>
      </c>
      <c r="D33" s="16">
        <v>1298</v>
      </c>
      <c r="E33" s="16"/>
      <c r="F33" s="16"/>
    </row>
  </sheetData>
  <mergeCells count="3">
    <mergeCell ref="A24:A26"/>
    <mergeCell ref="A1:L1"/>
    <mergeCell ref="A29:F30"/>
  </mergeCells>
  <phoneticPr fontId="1" type="noConversion"/>
  <pageMargins left="0.7" right="0.7" top="0.75" bottom="0.75" header="0.3" footer="0.3"/>
  <pageSetup paperSize="9" orientation="portrait" r:id="rId1"/>
  <ignoredErrors>
    <ignoredError sqref="F23" formula="1"/>
  </ignoredErrors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1CBD6-076B-46DC-8CB0-C38605181C35}">
  <sheetPr codeName="Sheet4"/>
  <dimension ref="A1:L11"/>
  <sheetViews>
    <sheetView zoomScale="115" zoomScaleNormal="115" workbookViewId="0">
      <selection activeCell="L14" sqref="L14"/>
    </sheetView>
  </sheetViews>
  <sheetFormatPr defaultRowHeight="14.25" x14ac:dyDescent="0.2"/>
  <cols>
    <col min="1" max="1" width="15.125" bestFit="1" customWidth="1"/>
    <col min="4" max="4" width="11" bestFit="1" customWidth="1"/>
    <col min="12" max="12" width="8.5" bestFit="1" customWidth="1"/>
    <col min="14" max="14" width="15.125" bestFit="1" customWidth="1"/>
    <col min="17" max="17" width="13" bestFit="1" customWidth="1"/>
  </cols>
  <sheetData>
    <row r="1" spans="1:12" x14ac:dyDescent="0.2">
      <c r="A1" s="64" t="s">
        <v>170</v>
      </c>
      <c r="B1" s="64"/>
      <c r="C1" s="64"/>
      <c r="D1" s="64"/>
      <c r="E1" s="64"/>
      <c r="F1" s="64"/>
      <c r="G1" s="64"/>
      <c r="H1" s="64"/>
    </row>
    <row r="2" spans="1:12" x14ac:dyDescent="0.2">
      <c r="A2" s="16" t="s">
        <v>150</v>
      </c>
      <c r="B2" s="16" t="s">
        <v>145</v>
      </c>
      <c r="C2" s="16" t="s">
        <v>146</v>
      </c>
      <c r="D2" s="16" t="s">
        <v>147</v>
      </c>
      <c r="E2" s="16" t="s">
        <v>148</v>
      </c>
      <c r="F2" s="16" t="s">
        <v>149</v>
      </c>
      <c r="G2" s="16" t="s">
        <v>154</v>
      </c>
      <c r="H2" s="35" t="s">
        <v>169</v>
      </c>
    </row>
    <row r="3" spans="1:12" x14ac:dyDescent="0.2">
      <c r="A3" s="16" t="s">
        <v>153</v>
      </c>
      <c r="B3" s="16">
        <v>15000</v>
      </c>
      <c r="C3" s="16">
        <v>7500</v>
      </c>
      <c r="D3" s="16"/>
      <c r="E3" s="16"/>
      <c r="F3" s="16"/>
      <c r="G3" s="16"/>
      <c r="H3" s="35">
        <f>SUM(B3:G3)</f>
        <v>22500</v>
      </c>
    </row>
    <row r="4" spans="1:12" x14ac:dyDescent="0.2">
      <c r="A4" s="16" t="s">
        <v>151</v>
      </c>
      <c r="B4" s="16"/>
      <c r="C4" s="16"/>
      <c r="D4" s="16">
        <v>5000</v>
      </c>
      <c r="E4" s="16"/>
      <c r="F4" s="16"/>
      <c r="G4" s="16"/>
      <c r="H4" s="35">
        <f t="shared" ref="H4:H5" si="0">SUM(B4:G4)</f>
        <v>5000</v>
      </c>
    </row>
    <row r="5" spans="1:12" x14ac:dyDescent="0.2">
      <c r="A5" s="16" t="s">
        <v>152</v>
      </c>
      <c r="B5" s="16"/>
      <c r="C5" s="16"/>
      <c r="D5" s="16"/>
      <c r="E5" s="16">
        <f>L9</f>
        <v>6917.41</v>
      </c>
      <c r="F5" s="16">
        <f>L10</f>
        <v>18847.68</v>
      </c>
      <c r="G5" s="16">
        <f>L11</f>
        <v>3037.2</v>
      </c>
      <c r="H5" s="35">
        <f t="shared" si="0"/>
        <v>28802.29</v>
      </c>
    </row>
    <row r="7" spans="1:12" x14ac:dyDescent="0.2">
      <c r="A7" s="65" t="s">
        <v>171</v>
      </c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</row>
    <row r="8" spans="1:12" x14ac:dyDescent="0.2">
      <c r="A8" s="17"/>
      <c r="B8" s="17" t="s">
        <v>156</v>
      </c>
      <c r="C8" s="17" t="s">
        <v>155</v>
      </c>
      <c r="D8" s="17" t="s">
        <v>159</v>
      </c>
      <c r="E8" s="17" t="s">
        <v>161</v>
      </c>
      <c r="F8" s="17" t="s">
        <v>160</v>
      </c>
      <c r="G8" s="17" t="s">
        <v>165</v>
      </c>
      <c r="H8" s="17" t="s">
        <v>166</v>
      </c>
      <c r="I8" s="17" t="s">
        <v>162</v>
      </c>
      <c r="J8" s="17" t="s">
        <v>163</v>
      </c>
      <c r="K8" s="17" t="s">
        <v>164</v>
      </c>
      <c r="L8" s="35" t="s">
        <v>167</v>
      </c>
    </row>
    <row r="9" spans="1:12" x14ac:dyDescent="0.2">
      <c r="A9" s="17" t="s">
        <v>148</v>
      </c>
      <c r="B9" s="17">
        <v>2190500</v>
      </c>
      <c r="C9" s="17">
        <v>352</v>
      </c>
      <c r="D9" s="17">
        <v>170</v>
      </c>
      <c r="E9" s="17"/>
      <c r="F9" s="17"/>
      <c r="G9" s="17"/>
      <c r="H9" s="17"/>
      <c r="I9" s="17"/>
      <c r="J9" s="17"/>
      <c r="K9" s="17"/>
      <c r="L9" s="35">
        <f>(B9/100000*82)+(C9/15*69)+(D9/5*103)+(E9)+(F9/3000*87)+(G9/10*150)+(H9/10*38)+(K9/3000*262)</f>
        <v>6917.41</v>
      </c>
    </row>
    <row r="10" spans="1:12" x14ac:dyDescent="0.2">
      <c r="A10" s="17" t="s">
        <v>157</v>
      </c>
      <c r="B10" s="17">
        <v>2034000</v>
      </c>
      <c r="C10" s="17"/>
      <c r="D10" s="17"/>
      <c r="E10" s="17">
        <f>613*18</f>
        <v>11034</v>
      </c>
      <c r="F10" s="17">
        <f>23900*6</f>
        <v>143400</v>
      </c>
      <c r="G10" s="17">
        <v>96</v>
      </c>
      <c r="H10" s="17">
        <v>144</v>
      </c>
      <c r="I10" s="17">
        <f>480*12</f>
        <v>5760</v>
      </c>
      <c r="J10" s="17">
        <f>80*12</f>
        <v>960</v>
      </c>
      <c r="K10" s="17"/>
      <c r="L10" s="35">
        <f>(B10/100000*82)+(C10/15*69)+(D10/5*103)+(E10)+(F10/3000*87)+(G10/10*150)+(H10/10*38)+(K10/3000*262)</f>
        <v>18847.68</v>
      </c>
    </row>
    <row r="11" spans="1:12" x14ac:dyDescent="0.2">
      <c r="A11" s="17" t="s">
        <v>158</v>
      </c>
      <c r="B11" s="17">
        <v>340000</v>
      </c>
      <c r="C11" s="17"/>
      <c r="D11" s="17"/>
      <c r="E11" s="17"/>
      <c r="F11" s="17"/>
      <c r="G11" s="17">
        <v>32</v>
      </c>
      <c r="H11" s="17">
        <v>48</v>
      </c>
      <c r="I11" s="17"/>
      <c r="J11" s="17"/>
      <c r="K11" s="17">
        <v>24000</v>
      </c>
      <c r="L11" s="35">
        <f t="shared" ref="L11" si="1">(B11/100000*82)+(C11/15*69)+(D11/5*103)+(E11)+(F11/3000*87)+(G11/10*150)+(H11/10*38)+(K11/3000*262)</f>
        <v>3037.2</v>
      </c>
    </row>
  </sheetData>
  <mergeCells count="2">
    <mergeCell ref="A1:H1"/>
    <mergeCell ref="A7:L7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F2C63-50EE-42E9-A15E-768D4583A74B}">
  <sheetPr codeName="Sheet5"/>
  <dimension ref="A1:K23"/>
  <sheetViews>
    <sheetView zoomScale="130" zoomScaleNormal="130" workbookViewId="0">
      <selection activeCell="G28" sqref="G28"/>
    </sheetView>
  </sheetViews>
  <sheetFormatPr defaultRowHeight="14.25" x14ac:dyDescent="0.2"/>
  <sheetData>
    <row r="1" spans="1:3" x14ac:dyDescent="0.2">
      <c r="A1" s="16"/>
      <c r="B1" s="64" t="s">
        <v>207</v>
      </c>
      <c r="C1" s="64"/>
    </row>
    <row r="2" spans="1:3" x14ac:dyDescent="0.2">
      <c r="A2" s="16" t="s">
        <v>180</v>
      </c>
      <c r="B2" s="16" t="s">
        <v>178</v>
      </c>
      <c r="C2" s="16" t="s">
        <v>179</v>
      </c>
    </row>
    <row r="3" spans="1:3" x14ac:dyDescent="0.2">
      <c r="A3" s="2">
        <v>5</v>
      </c>
      <c r="B3" s="27">
        <f>IF(A3&gt;=60,1,1-0.995^A3)</f>
        <v>2.4751246878124911E-2</v>
      </c>
      <c r="C3" s="27">
        <f>IF(A3&lt;80,1-0.985^A3,IF(A3&gt;100,1,((A3-79)+(100-A3)*(1-0.985^A3))/21))</f>
        <v>7.2783497634374972E-2</v>
      </c>
    </row>
    <row r="4" spans="1:3" x14ac:dyDescent="0.2">
      <c r="A4" s="2">
        <v>10</v>
      </c>
      <c r="B4" s="27">
        <f>IF(A4&gt;=60,1,1-0.995^A4)</f>
        <v>4.8889869534228025E-2</v>
      </c>
      <c r="C4" s="27">
        <f t="shared" ref="C4:C14" si="0">IF(A4&lt;80,1-0.985^A4,IF(A4&gt;100,1,((A4-79)+(100-A4)*(1-0.985^A4))/21))</f>
        <v>0.14026955774085692</v>
      </c>
    </row>
    <row r="5" spans="1:3" x14ac:dyDescent="0.2">
      <c r="A5" s="2">
        <v>15</v>
      </c>
      <c r="B5" s="27">
        <f t="shared" ref="B5:B12" si="1">IF(A5&gt;=60,1,1-0.995^A5)</f>
        <v>7.2431031181671934E-2</v>
      </c>
      <c r="C5" s="27">
        <f t="shared" si="0"/>
        <v>0.20284374635122548</v>
      </c>
    </row>
    <row r="6" spans="1:3" x14ac:dyDescent="0.2">
      <c r="A6" s="2">
        <v>20</v>
      </c>
      <c r="B6" s="27">
        <f t="shared" si="1"/>
        <v>9.5389519725382232E-2</v>
      </c>
      <c r="C6" s="27">
        <f t="shared" si="0"/>
        <v>0.26086356665289823</v>
      </c>
    </row>
    <row r="7" spans="1:3" x14ac:dyDescent="0.2">
      <c r="A7" s="2">
        <v>25</v>
      </c>
      <c r="B7" s="27">
        <f t="shared" si="1"/>
        <v>0.11777975705119847</v>
      </c>
      <c r="C7" s="27">
        <f t="shared" si="0"/>
        <v>0.31466050150089742</v>
      </c>
    </row>
    <row r="8" spans="1:3" x14ac:dyDescent="0.2">
      <c r="A8" s="2">
        <v>30</v>
      </c>
      <c r="B8" s="27">
        <f t="shared" si="1"/>
        <v>0.13961580808530361</v>
      </c>
      <c r="C8" s="27">
        <f t="shared" si="0"/>
        <v>0.36454190726865054</v>
      </c>
    </row>
    <row r="9" spans="1:3" x14ac:dyDescent="0.2">
      <c r="A9" s="2">
        <v>35</v>
      </c>
      <c r="B9" s="27">
        <f t="shared" si="1"/>
        <v>0.16091138962942031</v>
      </c>
      <c r="C9" s="27">
        <f t="shared" si="0"/>
        <v>0.41079276985770719</v>
      </c>
    </row>
    <row r="10" spans="1:3" x14ac:dyDescent="0.2">
      <c r="A10" s="2">
        <v>40</v>
      </c>
      <c r="B10" s="27">
        <f t="shared" si="1"/>
        <v>0.1816798789773254</v>
      </c>
      <c r="C10" s="27">
        <f t="shared" si="0"/>
        <v>0.45367733289892542</v>
      </c>
    </row>
    <row r="11" spans="1:3" x14ac:dyDescent="0.2">
      <c r="A11" s="2">
        <v>45</v>
      </c>
      <c r="B11" s="27">
        <f t="shared" si="1"/>
        <v>0.20193432231809461</v>
      </c>
      <c r="C11" s="27">
        <f t="shared" si="0"/>
        <v>0.49344060744748186</v>
      </c>
    </row>
    <row r="12" spans="1:3" x14ac:dyDescent="0.2">
      <c r="A12" s="2">
        <v>50</v>
      </c>
      <c r="B12" s="27">
        <f t="shared" si="1"/>
        <v>0.22168744293135767</v>
      </c>
      <c r="C12" s="27">
        <f t="shared" si="0"/>
        <v>0.53030977179699856</v>
      </c>
    </row>
    <row r="13" spans="1:3" x14ac:dyDescent="0.2">
      <c r="A13" s="2">
        <v>55</v>
      </c>
      <c r="B13" s="27">
        <f>IF(A13&gt;=60,1,1-0.995^A13)</f>
        <v>0.24095164917970835</v>
      </c>
      <c r="C13" s="27">
        <f t="shared" si="0"/>
        <v>0.56449546941030082</v>
      </c>
    </row>
    <row r="14" spans="1:3" x14ac:dyDescent="0.2">
      <c r="A14" s="2">
        <v>59</v>
      </c>
      <c r="B14" s="27">
        <f>IF(A14&gt;=60,1,1-0.995^A14)</f>
        <v>0.25601913799326137</v>
      </c>
      <c r="C14" s="27">
        <f t="shared" si="0"/>
        <v>0.59004366739313263</v>
      </c>
    </row>
    <row r="15" spans="1:3" x14ac:dyDescent="0.2">
      <c r="A15" s="2">
        <v>60</v>
      </c>
      <c r="B15" s="34">
        <f>IF(A15&gt;=60,1,1-0.995^A15)</f>
        <v>1</v>
      </c>
      <c r="C15" s="27">
        <f t="shared" ref="C15:C23" si="2">IF(A15&lt;80,1-0.985^A15,IF(A15&gt;100,1,((A15-79)+(100-A15)*(1-0.985^A15))/21))</f>
        <v>0.59619301238223577</v>
      </c>
    </row>
    <row r="16" spans="1:3" x14ac:dyDescent="0.2">
      <c r="A16" s="2">
        <v>65</v>
      </c>
      <c r="B16" s="1"/>
      <c r="C16" s="27">
        <f t="shared" si="2"/>
        <v>0.62558349731025742</v>
      </c>
    </row>
    <row r="17" spans="1:11" ht="14.25" customHeight="1" x14ac:dyDescent="0.2">
      <c r="A17" s="2">
        <v>70</v>
      </c>
      <c r="B17" s="1"/>
      <c r="C17" s="27">
        <f t="shared" si="2"/>
        <v>0.65283483994804725</v>
      </c>
      <c r="E17" s="66" t="s">
        <v>208</v>
      </c>
      <c r="F17" s="66"/>
      <c r="G17" s="66"/>
      <c r="H17" s="66"/>
      <c r="I17" s="66"/>
      <c r="J17" s="66"/>
      <c r="K17" s="66"/>
    </row>
    <row r="18" spans="1:11" x14ac:dyDescent="0.2">
      <c r="A18" s="2">
        <v>75</v>
      </c>
      <c r="B18" s="1"/>
      <c r="C18" s="27">
        <f t="shared" si="2"/>
        <v>0.67810273455342585</v>
      </c>
      <c r="E18" s="66"/>
      <c r="F18" s="66"/>
      <c r="G18" s="66"/>
      <c r="H18" s="66"/>
      <c r="I18" s="66"/>
      <c r="J18" s="66"/>
      <c r="K18" s="66"/>
    </row>
    <row r="19" spans="1:11" x14ac:dyDescent="0.2">
      <c r="A19" s="2">
        <v>80</v>
      </c>
      <c r="B19" s="1"/>
      <c r="C19" s="27">
        <f t="shared" si="2"/>
        <v>0.71574432705863655</v>
      </c>
    </row>
    <row r="20" spans="1:11" x14ac:dyDescent="0.2">
      <c r="A20" s="2">
        <v>85</v>
      </c>
      <c r="B20" s="1"/>
      <c r="C20" s="27">
        <f t="shared" si="2"/>
        <v>0.8023250868682914</v>
      </c>
    </row>
    <row r="21" spans="1:11" x14ac:dyDescent="0.2">
      <c r="A21" s="2">
        <v>90</v>
      </c>
      <c r="B21" s="1"/>
      <c r="C21" s="27">
        <f t="shared" si="2"/>
        <v>0.87780837229372566</v>
      </c>
    </row>
    <row r="22" spans="1:11" x14ac:dyDescent="0.2">
      <c r="A22" s="2">
        <v>95</v>
      </c>
      <c r="B22" s="1"/>
      <c r="C22" s="27">
        <f t="shared" si="2"/>
        <v>0.94335095316991291</v>
      </c>
    </row>
    <row r="23" spans="1:11" x14ac:dyDescent="0.2">
      <c r="A23" s="2">
        <v>100</v>
      </c>
      <c r="B23" s="1"/>
      <c r="C23" s="34">
        <f t="shared" si="2"/>
        <v>1</v>
      </c>
    </row>
  </sheetData>
  <mergeCells count="2">
    <mergeCell ref="B1:C1"/>
    <mergeCell ref="E17:K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D7898-E6A4-4459-B35D-E7CAF0B1D3E8}">
  <sheetPr codeName="Sheet6"/>
  <dimension ref="A1:N2"/>
  <sheetViews>
    <sheetView workbookViewId="0">
      <selection activeCell="G4" sqref="G4"/>
    </sheetView>
  </sheetViews>
  <sheetFormatPr defaultRowHeight="14.25" x14ac:dyDescent="0.2"/>
  <sheetData>
    <row r="1" spans="1:14" x14ac:dyDescent="0.2">
      <c r="A1" s="67" t="s">
        <v>181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</row>
    <row r="2" spans="1:14" x14ac:dyDescent="0.2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</row>
  </sheetData>
  <mergeCells count="1">
    <mergeCell ref="A1:N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7D77C-A346-48F1-AE5B-4ADCCB6646C9}">
  <sheetPr codeName="Sheet7"/>
  <dimension ref="A1:H8"/>
  <sheetViews>
    <sheetView zoomScale="190" zoomScaleNormal="190" workbookViewId="0">
      <selection activeCell="F12" sqref="F12"/>
    </sheetView>
  </sheetViews>
  <sheetFormatPr defaultRowHeight="14.25" x14ac:dyDescent="0.2"/>
  <cols>
    <col min="1" max="1" width="15.125" bestFit="1" customWidth="1"/>
  </cols>
  <sheetData>
    <row r="1" spans="1:8" x14ac:dyDescent="0.2">
      <c r="A1" s="7" t="s">
        <v>182</v>
      </c>
      <c r="B1" s="21">
        <v>5.0000000000000001E-3</v>
      </c>
      <c r="C1" s="9"/>
      <c r="D1" s="69" t="s">
        <v>201</v>
      </c>
      <c r="E1" s="70"/>
      <c r="F1" s="70"/>
      <c r="G1" s="70"/>
      <c r="H1" s="71"/>
    </row>
    <row r="2" spans="1:8" ht="16.5" x14ac:dyDescent="0.3">
      <c r="A2" s="12" t="s">
        <v>183</v>
      </c>
      <c r="B2" s="22">
        <v>60</v>
      </c>
      <c r="C2" s="13"/>
      <c r="D2" s="72"/>
      <c r="E2" s="73"/>
      <c r="F2" s="73"/>
      <c r="G2" s="73"/>
      <c r="H2" s="74"/>
    </row>
    <row r="3" spans="1:8" ht="16.5" x14ac:dyDescent="0.3">
      <c r="A3" s="7" t="s">
        <v>184</v>
      </c>
      <c r="B3" s="23">
        <v>1.4999999999999999E-2</v>
      </c>
      <c r="C3" s="9"/>
      <c r="D3" s="75" t="s">
        <v>202</v>
      </c>
      <c r="E3" s="70"/>
      <c r="F3" s="70"/>
      <c r="G3" s="70"/>
      <c r="H3" s="71"/>
    </row>
    <row r="4" spans="1:8" ht="16.5" x14ac:dyDescent="0.3">
      <c r="A4" s="10" t="s">
        <v>185</v>
      </c>
      <c r="B4" s="18">
        <v>80</v>
      </c>
      <c r="C4" s="11"/>
      <c r="D4" s="76"/>
      <c r="E4" s="57"/>
      <c r="F4" s="57"/>
      <c r="G4" s="57"/>
      <c r="H4" s="77"/>
    </row>
    <row r="5" spans="1:8" ht="16.5" x14ac:dyDescent="0.3">
      <c r="A5" s="12" t="s">
        <v>186</v>
      </c>
      <c r="B5" s="22">
        <v>100</v>
      </c>
      <c r="C5" s="13"/>
      <c r="D5" s="72"/>
      <c r="E5" s="73"/>
      <c r="F5" s="73"/>
      <c r="G5" s="73"/>
      <c r="H5" s="74"/>
    </row>
    <row r="6" spans="1:8" ht="16.5" x14ac:dyDescent="0.3">
      <c r="A6" s="24" t="s">
        <v>187</v>
      </c>
      <c r="B6" s="25">
        <v>0.7</v>
      </c>
      <c r="C6" s="26"/>
      <c r="D6" s="78" t="s">
        <v>209</v>
      </c>
      <c r="E6" s="58"/>
      <c r="F6" s="58"/>
      <c r="G6" s="58"/>
      <c r="H6" s="58"/>
    </row>
    <row r="7" spans="1:8" ht="16.5" x14ac:dyDescent="0.3">
      <c r="B7" s="18"/>
      <c r="D7" s="58"/>
      <c r="E7" s="58"/>
      <c r="F7" s="58"/>
      <c r="G7" s="58"/>
      <c r="H7" s="58"/>
    </row>
    <row r="8" spans="1:8" ht="16.5" x14ac:dyDescent="0.3">
      <c r="B8" s="18"/>
    </row>
  </sheetData>
  <mergeCells count="3">
    <mergeCell ref="D1:H2"/>
    <mergeCell ref="D3:H5"/>
    <mergeCell ref="D6:H7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6B62B-8A93-412B-9F10-0B6736AD49A3}">
  <sheetPr codeName="Sheet8"/>
  <dimension ref="A1:G11"/>
  <sheetViews>
    <sheetView tabSelected="1" topLeftCell="A7" zoomScale="160" zoomScaleNormal="160" workbookViewId="0">
      <selection activeCell="E9" sqref="E9"/>
    </sheetView>
  </sheetViews>
  <sheetFormatPr defaultRowHeight="14.25" x14ac:dyDescent="0.2"/>
  <cols>
    <col min="1" max="1" width="20" customWidth="1"/>
    <col min="3" max="3" width="12.125" customWidth="1"/>
  </cols>
  <sheetData>
    <row r="1" spans="1:7" x14ac:dyDescent="0.2">
      <c r="A1" s="20" t="s">
        <v>193</v>
      </c>
      <c r="B1">
        <v>2</v>
      </c>
      <c r="C1" s="31"/>
      <c r="D1" s="33"/>
    </row>
    <row r="2" spans="1:7" x14ac:dyDescent="0.2">
      <c r="A2" s="20" t="s">
        <v>199</v>
      </c>
      <c r="B2" t="b">
        <v>1</v>
      </c>
      <c r="C2" s="32"/>
      <c r="D2" s="32"/>
    </row>
    <row r="3" spans="1:7" x14ac:dyDescent="0.2">
      <c r="A3" s="28" t="s">
        <v>190</v>
      </c>
      <c r="B3" s="16">
        <v>0</v>
      </c>
    </row>
    <row r="4" spans="1:7" x14ac:dyDescent="0.2">
      <c r="A4" s="28" t="s">
        <v>191</v>
      </c>
      <c r="B4" s="16">
        <v>0</v>
      </c>
    </row>
    <row r="5" spans="1:7" x14ac:dyDescent="0.2">
      <c r="A5" s="28" t="s">
        <v>194</v>
      </c>
      <c r="B5" s="16">
        <v>0</v>
      </c>
    </row>
    <row r="6" spans="1:7" x14ac:dyDescent="0.2">
      <c r="A6" s="28" t="s">
        <v>195</v>
      </c>
      <c r="B6" s="16">
        <v>0</v>
      </c>
      <c r="C6" s="38" t="s">
        <v>205</v>
      </c>
      <c r="D6" s="39" t="e">
        <f>B6/B3</f>
        <v>#DIV/0!</v>
      </c>
    </row>
    <row r="7" spans="1:7" x14ac:dyDescent="0.2">
      <c r="A7" s="28" t="s">
        <v>196</v>
      </c>
      <c r="B7" s="16">
        <v>0</v>
      </c>
    </row>
    <row r="8" spans="1:7" x14ac:dyDescent="0.2">
      <c r="A8" s="29" t="s">
        <v>197</v>
      </c>
      <c r="B8" s="16">
        <v>0</v>
      </c>
      <c r="C8" s="36" t="s">
        <v>204</v>
      </c>
      <c r="D8" s="37" t="e">
        <f>B8/B6</f>
        <v>#DIV/0!</v>
      </c>
    </row>
    <row r="9" spans="1:7" x14ac:dyDescent="0.2">
      <c r="A9" s="29" t="s">
        <v>198</v>
      </c>
      <c r="B9" s="16" t="s">
        <v>200</v>
      </c>
    </row>
    <row r="10" spans="1:7" x14ac:dyDescent="0.2">
      <c r="A10" s="28" t="s">
        <v>203</v>
      </c>
      <c r="B10" s="30"/>
    </row>
    <row r="11" spans="1:7" ht="16.5" x14ac:dyDescent="0.3">
      <c r="A11" s="19" t="s">
        <v>192</v>
      </c>
      <c r="C11" s="31" t="s">
        <v>206</v>
      </c>
      <c r="D11" s="31"/>
      <c r="E11" s="31"/>
      <c r="F11" s="31"/>
      <c r="G11" s="3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eet8.单抽">
                <anchor moveWithCells="1" sizeWithCells="1">
                  <from>
                    <xdr:col>3</xdr:col>
                    <xdr:colOff>28575</xdr:colOff>
                    <xdr:row>10</xdr:row>
                    <xdr:rowOff>9525</xdr:rowOff>
                  </from>
                  <to>
                    <xdr:col>3</xdr:col>
                    <xdr:colOff>676275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heet8.十连抽">
                <anchor moveWithCells="1" sizeWithCells="1">
                  <from>
                    <xdr:col>4</xdr:col>
                    <xdr:colOff>47625</xdr:colOff>
                    <xdr:row>10</xdr:row>
                    <xdr:rowOff>9525</xdr:rowOff>
                  </from>
                  <to>
                    <xdr:col>5</xdr:col>
                    <xdr:colOff>28575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Sheet8.重置">
                <anchor moveWithCells="1" sizeWithCells="1">
                  <from>
                    <xdr:col>5</xdr:col>
                    <xdr:colOff>590550</xdr:colOff>
                    <xdr:row>10</xdr:row>
                    <xdr:rowOff>19050</xdr:rowOff>
                  </from>
                  <to>
                    <xdr:col>7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Option Button 8">
              <controlPr defaultSize="0" autoFill="0" autoLine="0" autoPict="0">
                <anchor moveWithCells="1">
                  <from>
                    <xdr:col>2</xdr:col>
                    <xdr:colOff>28575</xdr:colOff>
                    <xdr:row>0</xdr:row>
                    <xdr:rowOff>9525</xdr:rowOff>
                  </from>
                  <to>
                    <xdr:col>2</xdr:col>
                    <xdr:colOff>590550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Option Button 9">
              <controlPr defaultSize="0" autoFill="0" autoLine="0" autoPict="0">
                <anchor moveWithCells="1">
                  <from>
                    <xdr:col>3</xdr:col>
                    <xdr:colOff>38100</xdr:colOff>
                    <xdr:row>0</xdr:row>
                    <xdr:rowOff>9525</xdr:rowOff>
                  </from>
                  <to>
                    <xdr:col>3</xdr:col>
                    <xdr:colOff>533400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9" name="Check Box 12">
              <controlPr defaultSize="0" autoFill="0" autoLine="0" autoPict="0">
                <anchor moveWithCells="1">
                  <from>
                    <xdr:col>2</xdr:col>
                    <xdr:colOff>28575</xdr:colOff>
                    <xdr:row>1</xdr:row>
                    <xdr:rowOff>9525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CE60B-1A60-4942-B703-850E7DCED9D5}">
  <sheetPr codeName="Sheet9"/>
  <dimension ref="A1:F1"/>
  <sheetViews>
    <sheetView workbookViewId="0">
      <selection activeCell="H12" sqref="H12"/>
    </sheetView>
  </sheetViews>
  <sheetFormatPr defaultRowHeight="14.25" x14ac:dyDescent="0.2"/>
  <cols>
    <col min="2" max="2" width="10.25" customWidth="1"/>
    <col min="5" max="5" width="10.25" customWidth="1"/>
  </cols>
  <sheetData>
    <row r="1" spans="1:6" ht="16.5" x14ac:dyDescent="0.3">
      <c r="A1" s="42" t="s">
        <v>211</v>
      </c>
      <c r="B1" s="43" t="s">
        <v>191</v>
      </c>
      <c r="C1" s="43" t="s">
        <v>188</v>
      </c>
      <c r="D1" s="43" t="s">
        <v>189</v>
      </c>
      <c r="E1" s="44" t="s">
        <v>210</v>
      </c>
      <c r="F1" s="43" t="s">
        <v>212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角色数值统计表与伤害计算器</vt:lpstr>
      <vt:lpstr>关卡数值-幻痛囚笼</vt:lpstr>
      <vt:lpstr>经济数值-版本产出</vt:lpstr>
      <vt:lpstr>经济数值-版本消耗</vt:lpstr>
      <vt:lpstr>商业化数值-抽卡概率</vt:lpstr>
      <vt:lpstr>图表一览</vt:lpstr>
      <vt:lpstr>配置</vt:lpstr>
      <vt:lpstr>抽卡</vt:lpstr>
      <vt:lpstr>统计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2026-10-06T08:42:41Z</dcterms:modified>
</cp:coreProperties>
</file>